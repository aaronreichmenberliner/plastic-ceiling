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1.vml" ContentType="application/vnd.openxmlformats-officedocument.vmlDrawing"/>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drawings/drawing4.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1.xml" ContentType="application/vnd.openxmlformats-officedocument.drawingml.chart+xml"/>
  <Override PartName="/xl/charts/chart6.xml" ContentType="application/vnd.openxmlformats-officedocument.drawingml.chart+xml"/>
  <Override PartName="/xl/charts/chart10.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2.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1.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scription" sheetId="1" state="visible" r:id="rId3"/>
    <sheet name="Constants" sheetId="2" state="visible" r:id="rId4"/>
    <sheet name="Inputs" sheetId="3" state="visible" r:id="rId5"/>
    <sheet name="Parameters" sheetId="4" state="visible" r:id="rId6"/>
    <sheet name="Routing" sheetId="5" state="visible" r:id="rId7"/>
    <sheet name="Theoretical" sheetId="6" state="visible" r:id="rId8"/>
    <sheet name="Empirical" sheetId="7" state="visible" r:id="rId9"/>
    <sheet name="Scenarios" sheetId="8" state="visible" r:id="rId10"/>
    <sheet name="Volume_Limited" sheetId="9" state="visible" r:id="rId11"/>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B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an output stream (interconversion).</t>
        </r>
      </text>
    </comment>
    <comment ref="E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an output stream (interconversion).</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an output stream (interconversion).</t>
        </r>
      </text>
    </comment>
    <comment ref="D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P_{Σprod,C,AD} [g_C/(L·d)] ≙ AD total routed product-carbon productivity</t>
        </r>
      </text>
    </comment>
    <comment ref="E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Y_{Σprod/C,AD​} [g_C/g_C] ≙ AD total routed product-carbon yield</t>
        </r>
      </text>
    </comment>
    <comment ref="E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an output stream (interconversion).</t>
        </r>
      </text>
    </comment>
    <comment ref="H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P_{Σprod,C,AD} [g_C/(L·d)] ≙ AD total routed product-carbon productivity</t>
        </r>
      </text>
    </comment>
    <comment ref="I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Y_{Σprod/C,AD​} [gC/gC] ≙ AD total routed product-carbon yield</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an output stream (interconversion).</t>
        </r>
      </text>
    </comment>
    <comment ref="G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an output stream (interconversion).</t>
        </r>
      </text>
    </comment>
  </commentList>
</comments>
</file>

<file path=xl/sharedStrings.xml><?xml version="1.0" encoding="utf-8"?>
<sst xmlns="http://schemas.openxmlformats.org/spreadsheetml/2006/main" count="526" uniqueCount="354">
  <si>
    <t xml:space="preserve">Purpose</t>
  </si>
  <si>
    <t xml:space="preserve">Interactive sizing model for biomass productivity (P_V) and biomass yield on carbon (Y_X/C) using universal aqueous-system constraints (mass transfer, light delivery, hydrolysis/depolymerization). Outputs are formula-driven from scenario parameters.</t>
  </si>
  <si>
    <t xml:space="preserve">How to use</t>
  </si>
  <si>
    <t xml:space="preserve">1) Edit blue input cells in 'Inputs' and 'Parameters'. 2) Allocate carbon streams in 'Routing'.
3) Read outputs in 'Theoretical' and/or 'Empirical' (carbon processing capacities) as well as 'Scenarios' (required reactor volume, biomass output).</t>
  </si>
  <si>
    <t xml:space="preserve">Units</t>
  </si>
  <si>
    <t xml:space="preserve">Carbon accounting is in kg_C/(person·year). Mechanism rates are per reactor volume (per L).
Gas transfer uses Henry solubility constants (mol/(m^3·Pa)), tabulated at 298.15 K and van't Hoff-corrected to the operating temperature T_op, then converted internally to mol/(L·atm).</t>
  </si>
  <si>
    <t xml:space="preserve">Key assumptions</t>
  </si>
  <si>
    <t xml:space="preserve">Aqueous, near-ambient operation at 1 atm total and a user-set operating temperature T_op (default 303.15 K / 30°C; set T_op = 298.15 K to recover the 25°C reference). Two scenarios: Baseline and Aspirational.
Modify kLa, partial pressures, utilization factors, hydrolysis/depolymerization constants, assimilation fractions, operating temperature, maintenance coefficients, and solids loadings to explore outcomes.</t>
  </si>
  <si>
    <t xml:space="preserve">Rate &amp; yield corrections</t>
  </si>
  <si>
    <t xml:space="preserve">Three corrections apply to the theoretical (Mechanisms) layer only; the empirical (Pathways) layer already embeds them.
High-solids penalty — solid-substrate rates fall above a total-solids threshold TS_ref_highsolids with slope beta_highsolids.
Temperature — Henry's-law solubilities are van't Hoff-corrected from 298.15 K to T_op.
Maintenance — assimilation fractions carry a Pirt penalty set by mu_growth and m_C_maint, lowering observed yield at low growth rate.</t>
  </si>
  <si>
    <t xml:space="preserve">CONS = Conservative Scenario (baseline, standard bioprocess assumptions)</t>
  </si>
  <si>
    <t xml:space="preserve">AGGR = Aggressive Scenario (intensified, high-performance but still aqueous/near-ambient)</t>
  </si>
  <si>
    <t xml:space="preserve">Volume-limited capacity</t>
  </si>
  <si>
    <t xml:space="preserve">The Volume_Limited sheet inverts the sizing question: given an installed reactor volume per route, how much of each carbon stream can be processed per year. Baseline scenario, Empirical model. Edit the Installed Volume column only.</t>
  </si>
  <si>
    <t xml:space="preserve">Constant</t>
  </si>
  <si>
    <t xml:space="preserve">Value</t>
  </si>
  <si>
    <t xml:space="preserve">Unit</t>
  </si>
  <si>
    <t xml:space="preserve">Notes / Source (URL)</t>
  </si>
  <si>
    <t xml:space="preserve">Hcp(298.15K)</t>
  </si>
  <si>
    <t xml:space="preserve">-d_solH/R [K]</t>
  </si>
  <si>
    <t xml:space="preserve">T_ref</t>
  </si>
  <si>
    <t xml:space="preserve">K</t>
  </si>
  <si>
    <t xml:space="preserve">IUPAC standard temperature (25°C)</t>
  </si>
  <si>
    <t xml:space="preserve">atm_to_Pa</t>
  </si>
  <si>
    <t xml:space="preserve">Pa/atm</t>
  </si>
  <si>
    <t xml:space="preserve">definition</t>
  </si>
  <si>
    <t xml:space="preserve">L_per_m3</t>
  </si>
  <si>
    <t xml:space="preserve">L/m^3</t>
  </si>
  <si>
    <t xml:space="preserve">Hours_per_Day</t>
  </si>
  <si>
    <t xml:space="preserve">h/d</t>
  </si>
  <si>
    <t xml:space="preserve">Days_per_Year</t>
  </si>
  <si>
    <t xml:space="preserve">d/a</t>
  </si>
  <si>
    <t xml:space="preserve">Molar_Mass</t>
  </si>
  <si>
    <t xml:space="preserve">g/mol</t>
  </si>
  <si>
    <t xml:space="preserve">IUPAC standard atomic weight for carbon</t>
  </si>
  <si>
    <t xml:space="preserve">Biomass_C_fraction</t>
  </si>
  <si>
    <t xml:space="preserve">g_C/g_biomass</t>
  </si>
  <si>
    <t xml:space="preserve">typical microbial biomass is ~45–55% C [w/w]</t>
  </si>
  <si>
    <t xml:space="preserve">Cellulose_C_fraction</t>
  </si>
  <si>
    <t xml:space="preserve">g_C/g_cellulose</t>
  </si>
  <si>
    <t xml:space="preserve">essentially the carbon content of glucose</t>
  </si>
  <si>
    <t xml:space="preserve">Plastic_C_fraction</t>
  </si>
  <si>
    <t xml:space="preserve">g_C/g_polymer</t>
  </si>
  <si>
    <t xml:space="preserve">PET as single representative species</t>
  </si>
  <si>
    <t xml:space="preserve">Hscp_O2</t>
  </si>
  <si>
    <t xml:space="preserve">mol/(m^3·Pa)</t>
  </si>
  <si>
    <t xml:space="preserve">https://henrys-law.org/henry/casrn/7782-44-7 | van't Hoff to T_op; 1500 K (Sander 2023)</t>
  </si>
  <si>
    <t xml:space="preserve">Hscp_H2</t>
  </si>
  <si>
    <t xml:space="preserve">https://henrys-law.org/henry/casrn/1333-74-0 | van't Hoff to T_op; 530 K (Sander 2023)</t>
  </si>
  <si>
    <t xml:space="preserve">Hscp_CH4</t>
  </si>
  <si>
    <t xml:space="preserve">https://henrys-law.org/henry/casrn/74-82-8 | van't Hoff to T_op; 1600 K (Sander 2023)</t>
  </si>
  <si>
    <t xml:space="preserve">Hscp_CO</t>
  </si>
  <si>
    <t xml:space="preserve">https://henrys-law.org/henry/casrn/630-08-0 | van't Hoff to T_op; 1300 K (Sander 2023)</t>
  </si>
  <si>
    <t xml:space="preserve">Hscp_CO2</t>
  </si>
  <si>
    <t xml:space="preserve">https://henrys-law.org/henry/casrn/124-38-9 | van't Hoff to T_op; 2400 K (Sander 2023)</t>
  </si>
  <si>
    <t xml:space="preserve">Mission Architecture / Carbon Accounting Inputs</t>
  </si>
  <si>
    <t xml:space="preserve">Crew Members</t>
  </si>
  <si>
    <t xml:space="preserve">Average fraction for rotating crews/year.</t>
  </si>
  <si>
    <t xml:space="preserve">Down-Time</t>
  </si>
  <si>
    <t xml:space="preserve">System-wide average operating days/year.</t>
  </si>
  <si>
    <t xml:space="preserve">Carbon Stream</t>
  </si>
  <si>
    <t xml:space="preserve">kg_C/(person·a)</t>
  </si>
  <si>
    <t xml:space="preserve">kg_C/a</t>
  </si>
  <si>
    <t xml:space="preserve">Notes</t>
  </si>
  <si>
    <t xml:space="preserve">CO2</t>
  </si>
  <si>
    <t xml:space="preserve">Exhaled carbon dioxide.</t>
  </si>
  <si>
    <t xml:space="preserve">Wet_Organics</t>
  </si>
  <si>
    <t xml:space="preserve">Wet organic waste (food residues + feces).</t>
  </si>
  <si>
    <t xml:space="preserve">Cellulose</t>
  </si>
  <si>
    <t xml:space="preserve">Cellulosic materials (e.g., clothing).</t>
  </si>
  <si>
    <t xml:space="preserve">Polyesters</t>
  </si>
  <si>
    <t xml:space="preserve">Polyester plastics (e.g., PET).</t>
  </si>
  <si>
    <t xml:space="preserve">Polyamides</t>
  </si>
  <si>
    <t xml:space="preserve">Polyamide plastics (e.g., Nylon).</t>
  </si>
  <si>
    <t xml:space="preserve">Recalc_Plastics</t>
  </si>
  <si>
    <t xml:space="preserve">Recalcitrant plastics (e.g. polyolefins).</t>
  </si>
  <si>
    <t xml:space="preserve">Scenario Parameters (edit blue cells)</t>
  </si>
  <si>
    <t xml:space="preserve">Parameter</t>
  </si>
  <si>
    <t xml:space="preserve">Baseline</t>
  </si>
  <si>
    <t xml:space="preserve">Aspirational</t>
  </si>
  <si>
    <t xml:space="preserve">BASE f_assim_max</t>
  </si>
  <si>
    <t xml:space="preserve">ASPI f_assim_max</t>
  </si>
  <si>
    <t xml:space="preserve">kLa_gas</t>
  </si>
  <si>
    <t xml:space="preserve">1/h</t>
  </si>
  <si>
    <t xml:space="preserve">Overall gas-liquid mass transfer coefficient (used for all gases for simplicity).</t>
  </si>
  <si>
    <t xml:space="preserve">u_gas</t>
  </si>
  <si>
    <t xml:space="preserve">-</t>
  </si>
  <si>
    <t xml:space="preserve">Utilization factor for gas transfer capacity.</t>
  </si>
  <si>
    <t xml:space="preserve">u_otr</t>
  </si>
  <si>
    <t xml:space="preserve">Utilization factor for oxygen transfer capacity (aerobic growth).</t>
  </si>
  <si>
    <t xml:space="preserve">p_O2_air</t>
  </si>
  <si>
    <t xml:space="preserve">atm</t>
  </si>
  <si>
    <t xml:space="preserve">O2 partial pressure when using air.</t>
  </si>
  <si>
    <t xml:space="preserve">p_H2_litho</t>
  </si>
  <si>
    <t xml:space="preserve">H2 partial pressure for aerobic lithoautotrophy.</t>
  </si>
  <si>
    <t xml:space="preserve">p_O2_litho</t>
  </si>
  <si>
    <t xml:space="preserve">O2 partial pressure for aerobic lithoautotrophy.</t>
  </si>
  <si>
    <t xml:space="preserve">p_CO2_litho</t>
  </si>
  <si>
    <t xml:space="preserve">CO2 partial pressure for aerobic lithoautotrophy.</t>
  </si>
  <si>
    <t xml:space="preserve">n_H2/C_fix_aero</t>
  </si>
  <si>
    <t xml:space="preserve">mol_H2 / mol_C</t>
  </si>
  <si>
    <t xml:space="preserve">Effective H2 per mol C fixed (electron-balance factor; tunable).</t>
  </si>
  <si>
    <t xml:space="preserve">p_CO_aceto</t>
  </si>
  <si>
    <t xml:space="preserve">CO partial pressure for anaerobic autotrophy (acetogen).</t>
  </si>
  <si>
    <t xml:space="preserve">p_CH4</t>
  </si>
  <si>
    <t xml:space="preserve">CH4 partial pressure for aerobic methanotrophy.</t>
  </si>
  <si>
    <t xml:space="preserve">α_O2/CH4</t>
  </si>
  <si>
    <t xml:space="preserve">mol_O2 / mol_CH4</t>
  </si>
  <si>
    <t xml:space="preserve">Effective O2 requirement per CH4 consumed.</t>
  </si>
  <si>
    <t xml:space="preserve">α_O2/C</t>
  </si>
  <si>
    <t xml:space="preserve">mol_O2 / mol_C</t>
  </si>
  <si>
    <t xml:space="preserve">Effective O2 requirement per mol carbon consumed in aerobic heterotrophy.</t>
  </si>
  <si>
    <t xml:space="preserve">Areal_prod_photo</t>
  </si>
  <si>
    <t xml:space="preserve">g_biomass/(m^2·d)</t>
  </si>
  <si>
    <t xml:space="preserve">Representative areal productivity.</t>
  </si>
  <si>
    <t xml:space="preserve">A_over_V_photo</t>
  </si>
  <si>
    <t xml:space="preserve">m^2/m^3</t>
  </si>
  <si>
    <t xml:space="preserve">Illuminated area per reactor volume.</t>
  </si>
  <si>
    <t xml:space="preserve">C_AD,slurry​</t>
  </si>
  <si>
    <t xml:space="preserve">g_C/L</t>
  </si>
  <si>
    <t xml:space="preserve">Effective digestible carbon loading in the anaerobic digester slurry.</t>
  </si>
  <si>
    <t xml:space="preserve">τ_AD</t>
  </si>
  <si>
    <t xml:space="preserve">d</t>
  </si>
  <si>
    <t xml:space="preserve">Effective residence time of carbon loading in the anaerobic digester.</t>
  </si>
  <si>
    <t xml:space="preserve">η_AD,C​</t>
  </si>
  <si>
    <t xml:space="preserve">Fraction of AD input carbon that leaves the digester as routed products.</t>
  </si>
  <si>
    <t xml:space="preserve">C_loading_cellulose</t>
  </si>
  <si>
    <t xml:space="preserve">Insoluble cellulose-equivalent carbon concentration in reactor.</t>
  </si>
  <si>
    <t xml:space="preserve">k_hyd_cellulose</t>
  </si>
  <si>
    <t xml:space="preserve">1/d</t>
  </si>
  <si>
    <t xml:space="preserve">Effective hydrolysis/solubilization constant (carbon basis).</t>
  </si>
  <si>
    <t xml:space="preserve">C_loading_plastics</t>
  </si>
  <si>
    <t xml:space="preserve">Insoluble polymer-equivalent carbon concentration in reactor.</t>
  </si>
  <si>
    <t xml:space="preserve">k_dep_polyesters</t>
  </si>
  <si>
    <t xml:space="preserve">Effective depolymerization constant (carbon basis).</t>
  </si>
  <si>
    <t xml:space="preserve">k_dep_polyamides</t>
  </si>
  <si>
    <t xml:space="preserve">k_dep_recalcplastics</t>
  </si>
  <si>
    <t xml:space="preserve">u_solids</t>
  </si>
  <si>
    <t xml:space="preserve">Utilization factor for solubilized carbon (defaults to 1).</t>
  </si>
  <si>
    <t xml:space="preserve">TS_ref_highsolids</t>
  </si>
  <si>
    <t xml:space="preserve">High-solids onset threshold (total-solids mass fraction). Below this, no rate penalty.</t>
  </si>
  <si>
    <t xml:space="preserve">β_highsolids</t>
  </si>
  <si>
    <t xml:space="preserve">High-solids penalty slope: fractional rate loss per unit total-solids above threshold.</t>
  </si>
  <si>
    <t xml:space="preserve">f_assim_photo</t>
  </si>
  <si>
    <t xml:space="preserve">mol_C/mol_C</t>
  </si>
  <si>
    <t xml:space="preserve">Fraction of consumed carbon ending in biomass (aerobic phototrophy); Pirt-observed.</t>
  </si>
  <si>
    <t xml:space="preserve">f_assim_litho</t>
  </si>
  <si>
    <t xml:space="preserve">Fraction of fixed carbon ending in biomass (aerobic lithoautotrophy); Pirt-observed.</t>
  </si>
  <si>
    <t xml:space="preserve">f_assim_aceto</t>
  </si>
  <si>
    <t xml:space="preserve">Fraction of fixed carbon ending in biomass (anaerobic lithoautotrophy); Pirt-observed.</t>
  </si>
  <si>
    <t xml:space="preserve">f_assim_meth</t>
  </si>
  <si>
    <t xml:space="preserve">Fraction of CH4-carbon ending in biomass (aerobic methanotrophy); Pirt-observed.</t>
  </si>
  <si>
    <t xml:space="preserve">f_assim_hetero</t>
  </si>
  <si>
    <t xml:space="preserve">Fraction of organics-carbon ending in biomass (aerobic heterotrophy); Pirt-observed.</t>
  </si>
  <si>
    <t xml:space="preserve">f_assim_hydro</t>
  </si>
  <si>
    <t xml:space="preserve">Fraction of solubilized polymer/cellulose carbon ending in biomass; Pirt-observed.</t>
  </si>
  <si>
    <t xml:space="preserve">f_assim_thermo</t>
  </si>
  <si>
    <t xml:space="preserve">Fraction of non-pyrolyzed polymer (char) carbon ending in biomass.</t>
  </si>
  <si>
    <t xml:space="preserve">mix_photo</t>
  </si>
  <si>
    <t xml:space="preserve">Mixotrophy: multiplicative P_V uplift factor (lumps light/CO2 effects).
Associated CO2 assimilation is neglected as negligible relative to the total CO2 pool.</t>
  </si>
  <si>
    <t xml:space="preserve">T_op</t>
  </si>
  <si>
    <t xml:space="preserve">System operating temperature. van't Hoff-corrects all Henry's-law solubilities.</t>
  </si>
  <si>
    <t xml:space="preserve">mu_growth</t>
  </si>
  <si>
    <t xml:space="preserve">Specific growth rate for the Pirt maintenance correction; strongly sets the maintenance penalty magnitude.</t>
  </si>
  <si>
    <t xml:space="preserve">m_C_maint</t>
  </si>
  <si>
    <t xml:space="preserve">g_C/(g_X*h)</t>
  </si>
  <si>
    <t xml:space="preserve">Maintenance carbon coefficient (Pirt). Representative aerobic value; tune per chassis/literature.</t>
  </si>
  <si>
    <t xml:space="preserve">Carbon Stream Inter-Conversion and Coupling (edit blue cells; fractions in percent)</t>
  </si>
  <si>
    <t xml:space="preserve">Carbon Stream Routing and Allocations (edit blue cells; fractions in percent)</t>
  </si>
  <si>
    <t xml:space="preserve">Stream</t>
  </si>
  <si>
    <t xml:space="preserve">Mechanism; Limitation</t>
  </si>
  <si>
    <t xml:space="preserve">Check-Sum
! ≤ 1</t>
  </si>
  <si>
    <t xml:space="preserve">f_WetOrg_to_AD</t>
  </si>
  <si>
    <t xml:space="preserve">Fraction of Wet_Organics routed to anaerobic digestion</t>
  </si>
  <si>
    <t xml:space="preserve">CO2_available</t>
  </si>
  <si>
    <t xml:space="preserve">Photoautotroph (aerobic); light (energy)</t>
  </si>
  <si>
    <t xml:space="preserve">eta_AD_C</t>
  </si>
  <si>
    <t xml:space="preserve">Carbon conversion efficiency of AD (rest to sludge)</t>
  </si>
  <si>
    <t xml:space="preserve">Lithoautotroph (aerobic); gas transfer (energy)</t>
  </si>
  <si>
    <t xml:space="preserve">f_AD_to_VFA</t>
  </si>
  <si>
    <t xml:space="preserve">AD carbon partition to VFAs (of AD-processed carbon)</t>
  </si>
  <si>
    <t xml:space="preserve">CO_available</t>
  </si>
  <si>
    <t xml:space="preserve">Lithoautotroph (anaerobic); gas transfer (energy)</t>
  </si>
  <si>
    <t xml:space="preserve">f_AD_to_CH4</t>
  </si>
  <si>
    <t xml:space="preserve">AD carbon partition to CH4 (of AD-processed carbon)</t>
  </si>
  <si>
    <t xml:space="preserve">CH4_available</t>
  </si>
  <si>
    <t xml:space="preserve">Methanotroph (aerobic); gas transfer (carbon)</t>
  </si>
  <si>
    <t xml:space="preserve">f_AD_to_CO2</t>
  </si>
  <si>
    <t xml:space="preserve">AD carbon partition to CO2 (of AD-processed carbon)</t>
  </si>
  <si>
    <t xml:space="preserve">VFAs</t>
  </si>
  <si>
    <t xml:space="preserve">Heterotroph; OTR-limited</t>
  </si>
  <si>
    <t xml:space="preserve">f_RecPlastic_to_Pyrolysis</t>
  </si>
  <si>
    <t xml:space="preserve">Fraction of Recalc_Plastics routed to Pyrolysis</t>
  </si>
  <si>
    <t xml:space="preserve">Heterotroph (aerobic); OTR-limited</t>
  </si>
  <si>
    <t xml:space="preserve">eta_Pyrolysis_C</t>
  </si>
  <si>
    <t xml:space="preserve">Carbon conversion efficiency of pyrolysis (rest to char)</t>
  </si>
  <si>
    <t xml:space="preserve">Mixotroph (aerobic); OTR-limited</t>
  </si>
  <si>
    <t xml:space="preserve">f_Pyrolysis_to_CH4</t>
  </si>
  <si>
    <t xml:space="preserve">Pyro carbon partition to CH4 (via Plas-Pyro or MAP, respectively)</t>
  </si>
  <si>
    <t xml:space="preserve">Enzymatic; hydrolysis-limited</t>
  </si>
  <si>
    <t xml:space="preserve">f_Pyrolysis_to_CO</t>
  </si>
  <si>
    <t xml:space="preserve">Pyro carbon partition to CO (via Plas-Pyro or MAP, respectively)</t>
  </si>
  <si>
    <t xml:space="preserve">Enzymatic; depolymerization-limited</t>
  </si>
  <si>
    <t xml:space="preserve">f_Pyrolysis_to_CO2</t>
  </si>
  <si>
    <t xml:space="preserve">Pyro carbon partition to CO2 (via Plas-Pyro or MAP, respectively)</t>
  </si>
  <si>
    <t xml:space="preserve">f_CO2_to_Sabatier</t>
  </si>
  <si>
    <t xml:space="preserve">Fraction of available CO2 pool (Input+AD+Pyro) routed to Sabatier</t>
  </si>
  <si>
    <t xml:space="preserve">eta_Sabatier_C</t>
  </si>
  <si>
    <t xml:space="preserve">Carbon conversion efficiency of Sabatier (rest remains in CO2 pool)</t>
  </si>
  <si>
    <t xml:space="preserve">Derived Streams (one-pass, no feedback)</t>
  </si>
  <si>
    <t xml:space="preserve">Derived Streams (one-pass, no circular recursion)</t>
  </si>
  <si>
    <t xml:space="preserve">kg_C/a (BASE)</t>
  </si>
  <si>
    <t xml:space="preserve">kg_C/a (ASPI)</t>
  </si>
  <si>
    <t xml:space="preserve">Defined Bioreactor Volume (L)</t>
  </si>
  <si>
    <t xml:space="preserve">Definition (one-pass)</t>
  </si>
  <si>
    <t xml:space="preserve">WetOrg_to_AD</t>
  </si>
  <si>
    <t xml:space="preserve">Wet_Organics routed to anaerobic digestion</t>
  </si>
  <si>
    <t xml:space="preserve">AD_effective</t>
  </si>
  <si>
    <t xml:space="preserve">Carbon processed in anaerobic digestion</t>
  </si>
  <si>
    <t xml:space="preserve">VFAs_from_AD</t>
  </si>
  <si>
    <t xml:space="preserve">VFAs produced by anaerobic digestion</t>
  </si>
  <si>
    <t xml:space="preserve">CH4_from_AD</t>
  </si>
  <si>
    <t xml:space="preserve">CH4 produced by anaerobic digestion</t>
  </si>
  <si>
    <t xml:space="preserve">CO2_from_AD</t>
  </si>
  <si>
    <t xml:space="preserve">CO2 produced by anaerobic digestion</t>
  </si>
  <si>
    <t xml:space="preserve">RecPlastics_to_Pyrolysis</t>
  </si>
  <si>
    <t xml:space="preserve">Recalc_Plastics routed to Pyrolysis</t>
  </si>
  <si>
    <t xml:space="preserve">Pyrolysis_effective</t>
  </si>
  <si>
    <t xml:space="preserve">Carbon processed in Pyrolysis</t>
  </si>
  <si>
    <t xml:space="preserve">CH4_from_Pyro</t>
  </si>
  <si>
    <t xml:space="preserve">CH4 produced by Pyrolysis</t>
  </si>
  <si>
    <t xml:space="preserve">CO_from_Pyro</t>
  </si>
  <si>
    <t xml:space="preserve">CO produced by Pyrolysis</t>
  </si>
  <si>
    <t xml:space="preserve">CO2_from_Pyro</t>
  </si>
  <si>
    <t xml:space="preserve">CO2 produced by Pyrolysis</t>
  </si>
  <si>
    <t xml:space="preserve">CO2_pool_preSabatier</t>
  </si>
  <si>
    <t xml:space="preserve">CO2 exhaled + CO2 from AD + CO2 from Pyro</t>
  </si>
  <si>
    <t xml:space="preserve">CO2_to_Sabatier</t>
  </si>
  <si>
    <t xml:space="preserve">CO2 routed to Sabatier</t>
  </si>
  <si>
    <t xml:space="preserve">CH4_from_Sabatier</t>
  </si>
  <si>
    <t xml:space="preserve">CH4 produced by Sabatier</t>
  </si>
  <si>
    <t xml:space="preserve">CO2_available_effective</t>
  </si>
  <si>
    <t xml:space="preserve">Remaining CO2 pool after Sabatier</t>
  </si>
  <si>
    <t xml:space="preserve">CH4_available_effective</t>
  </si>
  <si>
    <t xml:space="preserve">Accumulated CH4 from AD + Pyrolysis + Sabatier</t>
  </si>
  <si>
    <t xml:space="preserve">WetOrg_remaining</t>
  </si>
  <si>
    <t xml:space="preserve">Remaining carbon of unprocessed Wet_Organics</t>
  </si>
  <si>
    <t xml:space="preserve">RecPlastics_remaining</t>
  </si>
  <si>
    <t xml:space="preserve">Remaining carbon of unprocessed Recalc_Plastics</t>
  </si>
  <si>
    <t xml:space="preserve">Sludge_C</t>
  </si>
  <si>
    <t xml:space="preserve">Residual carbon from AD (sludge)</t>
  </si>
  <si>
    <t xml:space="preserve">Char_C</t>
  </si>
  <si>
    <t xml:space="preserve">Residual carbon from Pyrolysis (char)</t>
  </si>
  <si>
    <t xml:space="preserve">Gas_C</t>
  </si>
  <si>
    <t xml:space="preserve">Residual carbon from Sabatier (carbon dioxide)</t>
  </si>
  <si>
    <t xml:space="preserve">Mechanism-Dependent BioProcess Parameter Calculations</t>
  </si>
  <si>
    <t xml:space="preserve">Scenario</t>
  </si>
  <si>
    <t xml:space="preserve">Substrate</t>
  </si>
  <si>
    <t xml:space="preserve">Metabolic Mode</t>
  </si>
  <si>
    <t xml:space="preserve">C_cap [kg_C/(L·a)]</t>
  </si>
  <si>
    <t xml:space="preserve">P_V [g_biomass/(L·d)]</t>
  </si>
  <si>
    <t xml:space="preserve">Y_{X/C} [g_biomass/g_carbon]</t>
  </si>
  <si>
    <t xml:space="preserve">r_C [g/(L·d)]</t>
  </si>
  <si>
    <t xml:space="preserve">r_C [g_C/(L·d)]</t>
  </si>
  <si>
    <t xml:space="preserve">Notes / Limiter</t>
  </si>
  <si>
    <t xml:space="preserve">Photoautotroph (aerobic, light-driven)</t>
  </si>
  <si>
    <t xml:space="preserve">Light delivery (areal productivity × A/V).</t>
  </si>
  <si>
    <t xml:space="preserve">Lithoautotroph (aerobic, H2-oxidizer)</t>
  </si>
  <si>
    <t xml:space="preserve">Gas transfer (H2/O2/CO2) + electron balance; limited by min(CO2, H2, O2).</t>
  </si>
  <si>
    <t xml:space="preserve">CO</t>
  </si>
  <si>
    <t xml:space="preserve">Lithoautotroph (anaerobic, acetogen)</t>
  </si>
  <si>
    <t xml:space="preserve">Gas transfer (CO) + low carbon assimilation fraction (energy-limited).</t>
  </si>
  <si>
    <t xml:space="preserve">CH4</t>
  </si>
  <si>
    <t xml:space="preserve">Methanotroph (aerobic)</t>
  </si>
  <si>
    <t xml:space="preserve">Gas transfer (CH4 and O2) using effective O2/CH4 requirement.</t>
  </si>
  <si>
    <t xml:space="preserve">Heterotroph (aerobic; OTR-capped)</t>
  </si>
  <si>
    <t xml:space="preserve">Oxygen transfer rate (OTR)-limited (defined soluble carbon).</t>
  </si>
  <si>
    <t xml:space="preserve">OTR-limited using α_O2/C (complex soluble carbon).</t>
  </si>
  <si>
    <t xml:space="preserve">Mixotroph (aerobic; OTR-capped with uplift)</t>
  </si>
  <si>
    <t xml:space="preserve">OTR-limited + multiplicative P_V uplift (mixo-photo).</t>
  </si>
  <si>
    <t xml:space="preserve">Heterotroph (anaerobic; carbon basis)</t>
  </si>
  <si>
    <t xml:space="preserve">Intermediate bioconversion unit (biomass not counted).</t>
  </si>
  <si>
    <t xml:space="preserve">Heterotroph (hydrolysis-limited; carbon basis)</t>
  </si>
  <si>
    <t xml:space="preserve">Solubilization/hydrolysis-limited on soluble carbon loading.</t>
  </si>
  <si>
    <t xml:space="preserve">Depolymerization + Heterotroph (carbon basis)</t>
  </si>
  <si>
    <t xml:space="preserve">Depolymerization-limited on insoluble carbon loading.</t>
  </si>
  <si>
    <t xml:space="preserve">Allocated Carbon Streams vs Infrastructure Sizing (Scenario Comparison)</t>
  </si>
  <si>
    <t xml:space="preserve">Mechanism</t>
  </si>
  <si>
    <t xml:space="preserve">Carbon Stream [kg_C/a]</t>
  </si>
  <si>
    <t xml:space="preserve">Reactor Vol [L]</t>
  </si>
  <si>
    <t xml:space="preserve">Biomass [kg/a]</t>
  </si>
  <si>
    <t xml:space="preserve">CO2 | Photoautotroph (aerobic)</t>
  </si>
  <si>
    <t xml:space="preserve">CO2 | Lithoautotroph (aerobic)</t>
  </si>
  <si>
    <t xml:space="preserve">CO | Lithoautotroph (anaerobic)</t>
  </si>
  <si>
    <t xml:space="preserve">CH4 | Methanotroph (aerobic)</t>
  </si>
  <si>
    <t xml:space="preserve">VFAs | Heterotroph (aerobic)</t>
  </si>
  <si>
    <t xml:space="preserve">Wet_Organics | Heterotroph (aerobic)</t>
  </si>
  <si>
    <t xml:space="preserve">Wet_Organics | Mixotroph (aerobic)</t>
  </si>
  <si>
    <t xml:space="preserve">Wet_Organics | Heterotroph (anaerobic)</t>
  </si>
  <si>
    <t xml:space="preserve">Cellulose | Enzymatic</t>
  </si>
  <si>
    <t xml:space="preserve">Polyesters | Biochemical</t>
  </si>
  <si>
    <t xml:space="preserve">Polyamides | Biochemical</t>
  </si>
  <si>
    <t xml:space="preserve">C_cap = volumetric carbon processing capacity (kg_C·L⁻¹·a⁻¹)</t>
  </si>
  <si>
    <t xml:space="preserve">P_V = biomass volumetric productivity (g_biomass·L⁻¹·d⁻¹)</t>
  </si>
  <si>
    <t xml:space="preserve">Y_X/C = biomass yield on carbon (g_biomass·g_C⁻¹)</t>
  </si>
  <si>
    <t xml:space="preserve">r_C = volumetric carbon processing rate (g_C·L⁻¹·d⁻¹)</t>
  </si>
  <si>
    <t xml:space="preserve">Organism-Dependent BioProcess Parameters</t>
  </si>
  <si>
    <t xml:space="preserve">Chassis / Reference</t>
  </si>
  <si>
    <t xml:space="preserve">Heterotroph (aerobic)</t>
  </si>
  <si>
    <t xml:space="preserve">Heterotroph (anaerobic)</t>
  </si>
  <si>
    <t xml:space="preserve">Depolymerization + Heterotroph (aerobic)</t>
  </si>
  <si>
    <t xml:space="preserve">Reactor Volume [L]</t>
  </si>
  <si>
    <t xml:space="preserve">Global Carbon Stream Balancing [kg_C/a] / [%]</t>
  </si>
  <si>
    <t xml:space="preserve">Scenario / Model</t>
  </si>
  <si>
    <t xml:space="preserve">Theoretical</t>
  </si>
  <si>
    <t xml:space="preserve">Empirical</t>
  </si>
  <si>
    <t xml:space="preserve">Model</t>
  </si>
  <si>
    <t xml:space="preserve">Conservative</t>
  </si>
  <si>
    <t xml:space="preserve">Aggressive</t>
  </si>
  <si>
    <t xml:space="preserve">Fate</t>
  </si>
  <si>
    <t xml:space="preserve">Throughput</t>
  </si>
  <si>
    <t xml:space="preserve">Converted</t>
  </si>
  <si>
    <t xml:space="preserve">Total carbon throughput across all bioprocesses.</t>
  </si>
  <si>
    <t xml:space="preserve">Biomass</t>
  </si>
  <si>
    <t xml:space="preserve">Fixed</t>
  </si>
  <si>
    <t xml:space="preserve">Total carbon fixed into microbial biomass across all bioprocesses.</t>
  </si>
  <si>
    <t xml:space="preserve">CO₂e</t>
  </si>
  <si>
    <t xml:space="preserve">Recoverable</t>
  </si>
  <si>
    <t xml:space="preserve">Non-biomass carbon byproducts from bioconversions, expressed as CO₂ equivalent.</t>
  </si>
  <si>
    <t xml:space="preserve">Residual Solids</t>
  </si>
  <si>
    <t xml:space="preserve">Terminal</t>
  </si>
  <si>
    <t xml:space="preserve">AD sludge (proteinaceous and lipid-associated cell wall polymers) and pyrolysis char (graphitic carbon).</t>
  </si>
  <si>
    <t xml:space="preserve">VFAs | Heterotroph</t>
  </si>
  <si>
    <t xml:space="preserve">Remaining Plastics</t>
  </si>
  <si>
    <t xml:space="preserve">Unconverted</t>
  </si>
  <si>
    <t xml:space="preserve">Plastics excluded from pyrolysis routing due to process incompatibility or chemical hazard (e.g., polyaramides, PVC).</t>
  </si>
  <si>
    <t xml:space="preserve">Wet_Organics | Heterotroph</t>
  </si>
  <si>
    <t xml:space="preserve">Combined Terminal</t>
  </si>
  <si>
    <t xml:space="preserve">Lost</t>
  </si>
  <si>
    <t xml:space="preserve">Conversion residues (AD sludge + pyrolysis char) and pyrolysis-incompatible recalcitrant plastics. </t>
  </si>
  <si>
    <t xml:space="preserve">Check-Sum</t>
  </si>
  <si>
    <t xml:space="preserve">Total</t>
  </si>
  <si>
    <t xml:space="preserve">Total carbon throughput / required real estate (volume)</t>
  </si>
  <si>
    <t xml:space="preserve">Volume-Limited Processing Capacity</t>
  </si>
  <si>
    <t xml:space="preserve">Carbon a bioreactor of given size can process per year, per route. Use when habitable volume, mass, or budget caps the installed reactor volume: the Scenarios sheet answers "how much volume do I need", this sheet answers "what can I process with the volume I have".</t>
  </si>
  <si>
    <t xml:space="preserve">Baseline scenario, Empirical model. Capacity = installed volume x r_C x operating days; processed carbon is capped at the available stream.</t>
  </si>
  <si>
    <t xml:space="preserve">Installed Volume [L]</t>
  </si>
  <si>
    <t xml:space="preserve">Operating Days [d/a]</t>
  </si>
  <si>
    <t xml:space="preserve">Capacity [kg_C/a]</t>
  </si>
  <si>
    <t xml:space="preserve">Processed [kg_C/a]</t>
  </si>
  <si>
    <t xml:space="preserve">Fraction Processed</t>
  </si>
  <si>
    <t xml:space="preserve">Unprocessed [kg_C/a]</t>
  </si>
  <si>
    <t xml:space="preserve">Volume for Full Stream [L]</t>
  </si>
  <si>
    <t xml:space="preserve">Notes: r_C, carbon streams and full-stream volumes are read from the Empirical sheet, so this sheet follows any change to the chassis parameters. Routes with no empirical parameterization return #N/A by design (wet organics aerobic has no reported chassis; the anaerobic unit is an interconversion step whose carbon is accounted downstream) and are excluded from the totals. "Volume for Full Stream" is the volume the Scenarios sheet requires for the whole stream, shown for comparison. Depolymerization-limited routes give the least carbon per litre installed.</t>
  </si>
</sst>
</file>

<file path=xl/styles.xml><?xml version="1.0" encoding="utf-8"?>
<styleSheet xmlns="http://schemas.openxmlformats.org/spreadsheetml/2006/main">
  <numFmts count="11">
    <numFmt numFmtId="164" formatCode="General"/>
    <numFmt numFmtId="165" formatCode="0.00"/>
    <numFmt numFmtId="166" formatCode="0"/>
    <numFmt numFmtId="167" formatCode="0.000"/>
    <numFmt numFmtId="168" formatCode="0.0000E+00"/>
    <numFmt numFmtId="169" formatCode="0.0"/>
    <numFmt numFmtId="170" formatCode="0%"/>
    <numFmt numFmtId="171" formatCode="0.0000"/>
    <numFmt numFmtId="172" formatCode="#,##0"/>
    <numFmt numFmtId="173" formatCode="#,##0.0"/>
    <numFmt numFmtId="174" formatCode="0.0%"/>
  </numFmts>
  <fonts count="32">
    <font>
      <sz val="11"/>
      <color theme="1"/>
      <name val="Calibri"/>
      <family val="2"/>
      <charset val="1"/>
    </font>
    <font>
      <sz val="10"/>
      <name val="Arial"/>
      <family val="0"/>
    </font>
    <font>
      <sz val="10"/>
      <name val="Arial"/>
      <family val="0"/>
    </font>
    <font>
      <sz val="10"/>
      <name val="Arial"/>
      <family val="0"/>
    </font>
    <font>
      <sz val="11"/>
      <name val="Calibri"/>
      <family val="2"/>
      <charset val="1"/>
    </font>
    <font>
      <b val="true"/>
      <sz val="11"/>
      <name val="Calibri"/>
      <family val="2"/>
      <charset val="1"/>
    </font>
    <font>
      <b val="true"/>
      <sz val="11"/>
      <name val="Cambria"/>
      <family val="0"/>
      <charset val="1"/>
    </font>
    <font>
      <b val="true"/>
      <sz val="11"/>
      <color rgb="FFFFFFFF"/>
      <name val="Calibri"/>
      <family val="0"/>
      <charset val="1"/>
    </font>
    <font>
      <sz val="11"/>
      <color rgb="FF008000"/>
      <name val="Calibri"/>
      <family val="0"/>
      <charset val="1"/>
    </font>
    <font>
      <u val="single"/>
      <sz val="11"/>
      <color theme="10"/>
      <name val="Calibri"/>
      <family val="2"/>
      <charset val="1"/>
    </font>
    <font>
      <b val="true"/>
      <sz val="12"/>
      <color rgb="FFFFFFFF"/>
      <name val="Calibri"/>
      <family val="0"/>
      <charset val="1"/>
    </font>
    <font>
      <sz val="11"/>
      <color rgb="FF0000FF"/>
      <name val="Calibri"/>
      <family val="0"/>
      <charset val="1"/>
    </font>
    <font>
      <sz val="11"/>
      <color rgb="FF595959"/>
      <name val="Calibri"/>
      <family val="0"/>
      <charset val="1"/>
    </font>
    <font>
      <b val="true"/>
      <sz val="11"/>
      <color rgb="FFFFFFFF"/>
      <name val="Calibri"/>
      <family val="2"/>
      <charset val="1"/>
    </font>
    <font>
      <sz val="16"/>
      <color rgb="FF000000"/>
      <name val="Calibri"/>
      <family val="2"/>
    </font>
    <font>
      <b val="true"/>
      <sz val="12"/>
      <color rgb="FF404040"/>
      <name val="Calibri"/>
      <family val="2"/>
    </font>
    <font>
      <sz val="12"/>
      <color rgb="FF000000"/>
      <name val="Calibri"/>
      <family val="2"/>
    </font>
    <font>
      <sz val="11"/>
      <color rgb="FF595959"/>
      <name val="Calibri"/>
      <family val="2"/>
      <charset val="1"/>
    </font>
    <font>
      <sz val="11"/>
      <color rgb="FF000000"/>
      <name val="Calibri"/>
      <family val="0"/>
      <charset val="1"/>
    </font>
    <font>
      <b val="true"/>
      <sz val="12"/>
      <color rgb="FFFFFFFF"/>
      <name val="Calibri"/>
      <family val="2"/>
      <charset val="1"/>
    </font>
    <font>
      <b val="true"/>
      <sz val="11"/>
      <color theme="0"/>
      <name val="Calibri"/>
      <family val="2"/>
      <charset val="1"/>
    </font>
    <font>
      <sz val="11"/>
      <color theme="3"/>
      <name val="Calibri"/>
      <family val="2"/>
      <charset val="1"/>
    </font>
    <font>
      <sz val="10"/>
      <name val="Arial"/>
      <family val="2"/>
    </font>
    <font>
      <sz val="14"/>
      <color rgb="FF595959"/>
      <name val="Calibri"/>
      <family val="2"/>
    </font>
    <font>
      <b val="true"/>
      <sz val="10"/>
      <color rgb="FF404040"/>
      <name val="Calibri"/>
      <family val="2"/>
    </font>
    <font>
      <sz val="9"/>
      <color rgb="FF595959"/>
      <name val="Calibri"/>
      <family val="2"/>
    </font>
    <font>
      <b val="true"/>
      <sz val="10"/>
      <color rgb="FF595959"/>
      <name val="Calibri"/>
      <family val="2"/>
    </font>
    <font>
      <sz val="10"/>
      <color rgb="FF595959"/>
      <name val="Calibri"/>
      <family val="2"/>
    </font>
    <font>
      <sz val="18"/>
      <color rgb="FF595959"/>
      <name val="Calibri"/>
      <family val="2"/>
    </font>
    <font>
      <b val="true"/>
      <sz val="12"/>
      <color rgb="FF595959"/>
      <name val="Calibri"/>
      <family val="2"/>
    </font>
    <font>
      <b val="true"/>
      <sz val="12"/>
      <name val="Cambria"/>
      <family val="0"/>
      <charset val="1"/>
    </font>
    <font>
      <i val="true"/>
      <sz val="9"/>
      <name val="Cambria"/>
      <family val="0"/>
      <charset val="1"/>
    </font>
  </fonts>
  <fills count="7">
    <fill>
      <patternFill patternType="none"/>
    </fill>
    <fill>
      <patternFill patternType="gray125"/>
    </fill>
    <fill>
      <patternFill patternType="solid">
        <fgColor rgb="FFD9E1F2"/>
        <bgColor rgb="FFD9D9D9"/>
      </patternFill>
    </fill>
    <fill>
      <patternFill patternType="solid">
        <fgColor rgb="FF1F4E79"/>
        <bgColor rgb="FF1F497D"/>
      </patternFill>
    </fill>
    <fill>
      <patternFill patternType="solid">
        <fgColor rgb="FFFFF2CC"/>
        <bgColor rgb="FFF2F2F2"/>
      </patternFill>
    </fill>
    <fill>
      <patternFill patternType="solid">
        <fgColor theme="0"/>
        <bgColor rgb="FFF2F2F2"/>
      </patternFill>
    </fill>
    <fill>
      <patternFill patternType="solid">
        <fgColor theme="3"/>
        <bgColor rgb="FF1F4E79"/>
      </patternFill>
    </fill>
  </fills>
  <borders count="46">
    <border diagonalUp="false" diagonalDown="false">
      <left/>
      <right/>
      <top/>
      <bottom/>
      <diagonal/>
    </border>
    <border diagonalUp="false" diagonalDown="false">
      <left style="thin"/>
      <right style="thin">
        <color rgb="FFA6A6A6"/>
      </right>
      <top style="thin"/>
      <bottom style="thin">
        <color rgb="FFA6A6A6"/>
      </bottom>
      <diagonal/>
    </border>
    <border diagonalUp="false" diagonalDown="false">
      <left style="thin">
        <color rgb="FFA6A6A6"/>
      </left>
      <right style="thin"/>
      <top style="thin"/>
      <bottom style="thin">
        <color rgb="FFA6A6A6"/>
      </bottom>
      <diagonal/>
    </border>
    <border diagonalUp="false" diagonalDown="false">
      <left style="thin"/>
      <right style="thin">
        <color rgb="FFA6A6A6"/>
      </right>
      <top style="thin">
        <color rgb="FFA6A6A6"/>
      </top>
      <bottom style="thin">
        <color rgb="FFA6A6A6"/>
      </bottom>
      <diagonal/>
    </border>
    <border diagonalUp="false" diagonalDown="false">
      <left style="thin">
        <color rgb="FFA6A6A6"/>
      </left>
      <right style="thin"/>
      <top style="thin">
        <color rgb="FFA6A6A6"/>
      </top>
      <bottom style="thin">
        <color rgb="FFA6A6A6"/>
      </bottom>
      <diagonal/>
    </border>
    <border diagonalUp="false" diagonalDown="false">
      <left style="thin">
        <color rgb="FFA6A6A6"/>
      </left>
      <right style="thin">
        <color rgb="FFA6A6A6"/>
      </right>
      <top style="thin"/>
      <bottom style="thin">
        <color rgb="FFA6A6A6"/>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right/>
      <top style="thin">
        <color rgb="FFA6A6A6"/>
      </top>
      <bottom style="thin">
        <color rgb="FFA6A6A6"/>
      </bottom>
      <diagonal/>
    </border>
    <border diagonalUp="false" diagonalDown="false">
      <left style="thin"/>
      <right style="thin">
        <color rgb="FFA6A6A6"/>
      </right>
      <top style="thin">
        <color rgb="FFA6A6A6"/>
      </top>
      <bottom style="thin"/>
      <diagonal/>
    </border>
    <border diagonalUp="false" diagonalDown="false">
      <left style="thin">
        <color rgb="FFA6A6A6"/>
      </left>
      <right style="thin">
        <color rgb="FFA6A6A6"/>
      </right>
      <top style="thin">
        <color rgb="FFA6A6A6"/>
      </top>
      <bottom style="thin"/>
      <diagonal/>
    </border>
    <border diagonalUp="false" diagonalDown="false">
      <left style="thin">
        <color rgb="FFA6A6A6"/>
      </left>
      <right style="thin"/>
      <top style="thin">
        <color rgb="FFA6A6A6"/>
      </top>
      <bottom style="thin"/>
      <diagonal/>
    </border>
    <border diagonalUp="false" diagonalDown="false">
      <left style="thin"/>
      <right style="thin"/>
      <top style="thin"/>
      <bottom/>
      <diagonal/>
    </border>
    <border diagonalUp="false" diagonalDown="false">
      <left style="thin"/>
      <right style="thin"/>
      <top/>
      <bottom style="thin">
        <color rgb="FFA6A6A6"/>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color rgb="FFA6A6A6"/>
      </right>
      <top/>
      <bottom/>
      <diagonal/>
    </border>
    <border diagonalUp="false" diagonalDown="false">
      <left style="thin">
        <color rgb="FFA6A6A6"/>
      </left>
      <right style="thin">
        <color rgb="FFA6A6A6"/>
      </right>
      <top/>
      <bottom style="thin">
        <color rgb="FFA6A6A6"/>
      </bottom>
      <diagonal/>
    </border>
    <border diagonalUp="false" diagonalDown="false">
      <left style="thin">
        <color rgb="FFA6A6A6"/>
      </left>
      <right style="thin">
        <color rgb="FFA6A6A6"/>
      </right>
      <top/>
      <bottom/>
      <diagonal/>
    </border>
    <border diagonalUp="false" diagonalDown="false">
      <left style="thin">
        <color rgb="FFA6A6A6"/>
      </left>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color rgb="FFA6A6A6"/>
      </right>
      <top style="thin"/>
      <bottom/>
      <diagonal/>
    </border>
    <border diagonalUp="false" diagonalDown="false">
      <left style="thin">
        <color rgb="FFA6A6A6"/>
      </left>
      <right style="thin"/>
      <top/>
      <bottom style="thin">
        <color rgb="FFA6A6A6"/>
      </bottom>
      <diagonal/>
    </border>
    <border diagonalUp="false" diagonalDown="false">
      <left style="thin">
        <color rgb="FFA6A6A6"/>
      </left>
      <right/>
      <top style="thin">
        <color rgb="FFA6A6A6"/>
      </top>
      <bottom style="thin">
        <color rgb="FFA6A6A6"/>
      </bottom>
      <diagonal/>
    </border>
    <border diagonalUp="false" diagonalDown="false">
      <left/>
      <right style="thin">
        <color rgb="FFA6A6A6"/>
      </right>
      <top style="thin"/>
      <bottom style="thin">
        <color rgb="FFA6A6A6"/>
      </bottom>
      <diagonal/>
    </border>
    <border diagonalUp="false" diagonalDown="false">
      <left/>
      <right style="thin"/>
      <top style="thin">
        <color rgb="FFA6A6A6"/>
      </top>
      <bottom style="thin">
        <color rgb="FFA6A6A6"/>
      </bottom>
      <diagonal/>
    </border>
    <border diagonalUp="false" diagonalDown="false">
      <left/>
      <right style="thin">
        <color rgb="FFA6A6A6"/>
      </right>
      <top style="thin">
        <color rgb="FFA6A6A6"/>
      </top>
      <bottom style="thin">
        <color rgb="FFA6A6A6"/>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style="thin"/>
      <bottom style="thin">
        <color rgb="FFA6A6A6"/>
      </bottom>
      <diagonal/>
    </border>
    <border diagonalUp="false" diagonalDown="false">
      <left style="thin"/>
      <right style="thin">
        <color rgb="FFA6A6A6"/>
      </right>
      <top/>
      <bottom style="thin">
        <color rgb="FFA6A6A6"/>
      </bottom>
      <diagonal/>
    </border>
    <border diagonalUp="false" diagonalDown="false">
      <left style="thin">
        <color rgb="FFA6A6A6"/>
      </left>
      <right/>
      <top/>
      <bottom style="thin">
        <color rgb="FFA6A6A6"/>
      </bottom>
      <diagonal/>
    </border>
    <border diagonalUp="false" diagonalDown="false">
      <left/>
      <right style="thin"/>
      <top style="thin"/>
      <bottom style="thin">
        <color rgb="FFA6A6A6"/>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style="thin"/>
      <bottom style="thin">
        <color rgb="FFA6A6A6"/>
      </bottom>
      <diagonal/>
    </border>
    <border diagonalUp="false" diagonalDown="false">
      <left/>
      <right/>
      <top style="thin"/>
      <bottom/>
      <diagonal/>
    </border>
    <border diagonalUp="false" diagonalDown="false">
      <left style="thin"/>
      <right style="thin"/>
      <top style="thin">
        <color rgb="FFA6A6A6"/>
      </top>
      <bottom style="thin">
        <color rgb="FFA6A6A6"/>
      </bottom>
      <diagonal/>
    </border>
    <border diagonalUp="false" diagonalDown="false">
      <left style="thin"/>
      <right style="thin"/>
      <top/>
      <bottom style="thin"/>
      <diagonal/>
    </border>
    <border diagonalUp="false" diagonalDown="false">
      <left style="thin"/>
      <right style="thin"/>
      <top style="thin">
        <color rgb="FFA6A6A6"/>
      </top>
      <bottom style="thin"/>
      <diagonal/>
    </border>
    <border diagonalUp="false" diagonalDown="false">
      <left style="thin"/>
      <right style="thin">
        <color rgb="FFA6A6A6"/>
      </right>
      <top/>
      <bottom style="thin"/>
      <diagonal/>
    </border>
    <border diagonalUp="false" diagonalDown="false">
      <left style="thin">
        <color rgb="FFA6A6A6"/>
      </left>
      <right style="thin"/>
      <top/>
      <bottom style="thin"/>
      <diagonal/>
    </border>
    <border diagonalUp="false" diagonalDown="false">
      <left style="thin">
        <color rgb="FFA6A6A6"/>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4" fontId="5" fillId="2" borderId="3" xfId="0" applyFont="true" applyBorder="true" applyAlignment="true" applyProtection="false">
      <alignment horizontal="general" vertical="center" textRotation="0" wrapText="true" indent="0" shrinkToFit="false"/>
      <protection locked="true" hidden="false"/>
    </xf>
    <xf numFmtId="164" fontId="4" fillId="0" borderId="4"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7" fillId="3" borderId="5" xfId="0" applyFont="true" applyBorder="true" applyAlignment="true" applyProtection="false">
      <alignment horizontal="general" vertical="center" textRotation="0" wrapText="false" indent="0" shrinkToFit="false"/>
      <protection locked="true" hidden="false"/>
    </xf>
    <xf numFmtId="164" fontId="7" fillId="3" borderId="2" xfId="0" applyFont="true" applyBorder="true" applyAlignment="true" applyProtection="fals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5" fontId="0" fillId="0" borderId="6" xfId="0" applyFont="false" applyBorder="true" applyAlignment="true" applyProtection="false">
      <alignment horizontal="general" vertical="center" textRotation="0" wrapText="false" indent="0" shrinkToFit="false"/>
      <protection locked="true" hidden="false"/>
    </xf>
    <xf numFmtId="164" fontId="0" fillId="0" borderId="6" xfId="0" applyFont="true" applyBorder="true" applyAlignment="true" applyProtection="false">
      <alignment horizontal="general"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false" indent="0"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66" fontId="0" fillId="0" borderId="6" xfId="0" applyFont="false" applyBorder="true" applyAlignment="true" applyProtection="false">
      <alignment horizontal="general" vertical="center" textRotation="0" wrapText="false" indent="0" shrinkToFit="false"/>
      <protection locked="true" hidden="false"/>
    </xf>
    <xf numFmtId="167" fontId="0" fillId="0" borderId="6" xfId="0" applyFont="false" applyBorder="true" applyAlignment="true" applyProtection="false">
      <alignment horizontal="general" vertical="center" textRotation="0" wrapText="false" indent="0" shrinkToFit="false"/>
      <protection locked="true" hidden="false"/>
    </xf>
    <xf numFmtId="168" fontId="0" fillId="0" borderId="6" xfId="0" applyFont="false" applyBorder="true" applyAlignment="true" applyProtection="false">
      <alignment horizontal="general" vertical="center" textRotation="0" wrapText="false" indent="0" shrinkToFit="false"/>
      <protection locked="true" hidden="false"/>
    </xf>
    <xf numFmtId="164" fontId="9" fillId="0" borderId="4" xfId="0" applyFont="true" applyBorder="true" applyAlignment="true" applyProtection="false">
      <alignment horizontal="general" vertical="center" textRotation="0" wrapText="false" indent="0" shrinkToFit="false"/>
      <protection locked="true" hidden="false"/>
    </xf>
    <xf numFmtId="164" fontId="0" fillId="0" borderId="8" xfId="0" applyFont="true" applyBorder="true" applyAlignment="true" applyProtection="false">
      <alignment horizontal="general" vertical="center" textRotation="0" wrapText="false" indent="0" shrinkToFit="false"/>
      <protection locked="true" hidden="false"/>
    </xf>
    <xf numFmtId="168" fontId="0" fillId="0" borderId="9" xfId="0" applyFont="false" applyBorder="true" applyAlignment="true" applyProtection="false">
      <alignment horizontal="general" vertical="center" textRotation="0" wrapText="false" indent="0" shrinkToFit="false"/>
      <protection locked="true" hidden="false"/>
    </xf>
    <xf numFmtId="164" fontId="0" fillId="0" borderId="9" xfId="0" applyFont="true" applyBorder="true" applyAlignment="true" applyProtection="false">
      <alignment horizontal="general" vertical="center" textRotation="0" wrapText="false" indent="0" shrinkToFit="false"/>
      <protection locked="true" hidden="false"/>
    </xf>
    <xf numFmtId="164" fontId="9" fillId="0" borderId="10" xfId="0" applyFont="true" applyBorder="true" applyAlignment="true" applyProtection="false">
      <alignment horizontal="general" vertical="center" textRotation="0" wrapText="false" indent="0" shrinkToFit="false"/>
      <protection locked="true" hidden="false"/>
    </xf>
    <xf numFmtId="166" fontId="0" fillId="0" borderId="9" xfId="0" applyFont="false" applyBorder="true" applyAlignment="true" applyProtection="false">
      <alignment horizontal="general" vertical="center" textRotation="0" wrapText="false" indent="0" shrinkToFit="false"/>
      <protection locked="true" hidden="false"/>
    </xf>
    <xf numFmtId="164" fontId="10" fillId="3" borderId="11" xfId="0" applyFont="true" applyBorder="true" applyAlignment="true" applyProtection="false">
      <alignment horizontal="center" vertical="center" textRotation="0" wrapText="false" indent="0" shrinkToFit="false"/>
      <protection locked="true" hidden="false"/>
    </xf>
    <xf numFmtId="169" fontId="11" fillId="4" borderId="6" xfId="0" applyFont="true" applyBorder="true" applyAlignment="true" applyProtection="false">
      <alignment horizontal="general" vertical="center" textRotation="0" wrapText="false" indent="0" shrinkToFit="false"/>
      <protection locked="true" hidden="false"/>
    </xf>
    <xf numFmtId="169" fontId="8" fillId="0" borderId="6" xfId="0" applyFont="true" applyBorder="true" applyAlignment="true" applyProtection="false">
      <alignment horizontal="general" vertical="center" textRotation="0" wrapText="false" indent="0" shrinkToFit="false"/>
      <protection locked="true" hidden="false"/>
    </xf>
    <xf numFmtId="164" fontId="12" fillId="0" borderId="4" xfId="0" applyFont="true" applyBorder="true" applyAlignment="true" applyProtection="false">
      <alignment horizontal="general" vertical="center" textRotation="0" wrapText="false" indent="0" shrinkToFit="false"/>
      <protection locked="true" hidden="false"/>
    </xf>
    <xf numFmtId="170" fontId="11" fillId="4" borderId="6" xfId="0" applyFont="true" applyBorder="true" applyAlignment="true" applyProtection="false">
      <alignment horizontal="general" vertical="center" textRotation="0" wrapText="false" indent="0" shrinkToFit="false"/>
      <protection locked="true" hidden="false"/>
    </xf>
    <xf numFmtId="164" fontId="0" fillId="0" borderId="12" xfId="0" applyFont="false" applyBorder="true" applyAlignment="true" applyProtection="false">
      <alignment horizontal="center" vertical="center" textRotation="0" wrapText="false" indent="0" shrinkToFit="false"/>
      <protection locked="true" hidden="false"/>
    </xf>
    <xf numFmtId="164" fontId="13" fillId="3" borderId="3" xfId="0" applyFont="true" applyBorder="true" applyAlignment="true" applyProtection="false">
      <alignment horizontal="general" vertical="center" textRotation="0" wrapText="false" indent="0" shrinkToFit="false"/>
      <protection locked="true" hidden="false"/>
    </xf>
    <xf numFmtId="164" fontId="7" fillId="3" borderId="6" xfId="0" applyFont="true" applyBorder="true" applyAlignment="true" applyProtection="false">
      <alignment horizontal="general" vertical="center" textRotation="0" wrapText="false" indent="0" shrinkToFit="false"/>
      <protection locked="true" hidden="false"/>
    </xf>
    <xf numFmtId="164" fontId="7" fillId="3" borderId="4" xfId="0" applyFont="true" applyBorder="true" applyAlignment="true" applyProtection="false">
      <alignment horizontal="general" vertical="center" textRotation="0" wrapText="false" indent="0" shrinkToFit="false"/>
      <protection locked="true" hidden="false"/>
    </xf>
    <xf numFmtId="169" fontId="11" fillId="4" borderId="9" xfId="0" applyFont="true" applyBorder="true" applyAlignment="true" applyProtection="false">
      <alignment horizontal="general" vertical="center" textRotation="0" wrapText="false" indent="0" shrinkToFit="false"/>
      <protection locked="true" hidden="false"/>
    </xf>
    <xf numFmtId="169" fontId="8" fillId="0" borderId="9" xfId="0" applyFont="true" applyBorder="true" applyAlignment="true" applyProtection="false">
      <alignment horizontal="general" vertical="center" textRotation="0" wrapText="false" indent="0" shrinkToFit="false"/>
      <protection locked="true" hidden="false"/>
    </xf>
    <xf numFmtId="164" fontId="12" fillId="0" borderId="10" xfId="0" applyFont="true" applyBorder="true" applyAlignment="true" applyProtection="false">
      <alignment horizontal="general" vertical="center" textRotation="0" wrapText="false" indent="0" shrinkToFit="false"/>
      <protection locked="true" hidden="false"/>
    </xf>
    <xf numFmtId="169" fontId="0" fillId="0" borderId="0" xfId="0" applyFont="false" applyBorder="false" applyAlignment="true" applyProtection="false">
      <alignment horizontal="general" vertical="center" textRotation="0" wrapText="false" indent="0"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12" xfId="0" applyFont="false" applyBorder="true" applyAlignment="true" applyProtection="false">
      <alignment horizontal="center" vertical="bottom" textRotation="0" wrapText="false" indent="0" shrinkToFit="false"/>
      <protection locked="true" hidden="false"/>
    </xf>
    <xf numFmtId="164" fontId="7" fillId="3" borderId="3" xfId="0" applyFont="true" applyBorder="true" applyAlignment="true" applyProtection="false">
      <alignment horizontal="general" vertical="center" textRotation="0" wrapText="false" indent="0" shrinkToFit="false"/>
      <protection locked="true" hidden="false"/>
    </xf>
    <xf numFmtId="164" fontId="12" fillId="0" borderId="6" xfId="0" applyFont="true" applyBorder="true" applyAlignment="true" applyProtection="false">
      <alignment horizontal="general" vertical="center" textRotation="0" wrapText="false" indent="0" shrinkToFit="false"/>
      <protection locked="true" hidden="false"/>
    </xf>
    <xf numFmtId="166" fontId="11" fillId="4" borderId="6" xfId="0" applyFont="true" applyBorder="true" applyAlignment="true" applyProtection="false">
      <alignment horizontal="general" vertical="center" textRotation="0" wrapText="false" indent="0" shrinkToFit="false"/>
      <protection locked="true" hidden="false"/>
    </xf>
    <xf numFmtId="165" fontId="11" fillId="4" borderId="6" xfId="0" applyFont="true" applyBorder="true" applyAlignment="true" applyProtection="false">
      <alignment horizontal="general" vertical="center" textRotation="0" wrapText="false" indent="0" shrinkToFit="false"/>
      <protection locked="true" hidden="false"/>
    </xf>
    <xf numFmtId="164" fontId="17" fillId="0" borderId="4" xfId="0" applyFont="true" applyBorder="true" applyAlignment="true" applyProtection="false">
      <alignment horizontal="general" vertical="center" textRotation="0" wrapText="false" indent="0" shrinkToFit="false"/>
      <protection locked="true" hidden="false"/>
    </xf>
    <xf numFmtId="165" fontId="18" fillId="4" borderId="6" xfId="0" applyFont="true" applyBorder="true" applyAlignment="true" applyProtection="false">
      <alignment horizontal="general" vertical="center" textRotation="0" wrapText="false" indent="0" shrinkToFit="false"/>
      <protection locked="true" hidden="false"/>
    </xf>
    <xf numFmtId="164" fontId="12" fillId="0" borderId="9" xfId="0" applyFont="true" applyBorder="true" applyAlignment="true" applyProtection="false">
      <alignment horizontal="general" vertical="center" textRotation="0" wrapText="false" indent="0" shrinkToFit="false"/>
      <protection locked="true" hidden="false"/>
    </xf>
    <xf numFmtId="165" fontId="11" fillId="4" borderId="9" xfId="0" applyFont="true" applyBorder="true" applyAlignment="true" applyProtection="false">
      <alignment horizontal="general" vertical="center" textRotation="0" wrapText="false" indent="0" shrinkToFit="false"/>
      <protection locked="true" hidden="false"/>
    </xf>
    <xf numFmtId="164" fontId="12" fillId="0" borderId="10" xfId="0" applyFont="true" applyBorder="true" applyAlignment="true" applyProtection="false">
      <alignment horizontal="general" vertical="center" textRotation="0" wrapText="true" indent="0" shrinkToFit="false"/>
      <protection locked="true" hidden="false"/>
    </xf>
    <xf numFmtId="167" fontId="11" fillId="4" borderId="6" xfId="0" applyFont="true" applyBorder="true" applyAlignment="true" applyProtection="false">
      <alignment horizontal="general" vertical="center" textRotation="0" wrapText="false" indent="0" shrinkToFit="false"/>
      <protection locked="true" hidden="false"/>
    </xf>
    <xf numFmtId="164" fontId="0" fillId="5" borderId="0" xfId="0" applyFont="false" applyBorder="false" applyAlignment="true" applyProtection="false">
      <alignment horizontal="general" vertical="center" textRotation="0" wrapText="false" indent="0" shrinkToFit="false"/>
      <protection locked="true" hidden="false"/>
    </xf>
    <xf numFmtId="164" fontId="19" fillId="3" borderId="13" xfId="0" applyFont="true" applyBorder="true" applyAlignment="true" applyProtection="false">
      <alignment horizontal="center" vertical="center" textRotation="0" wrapText="false" indent="0" shrinkToFit="false"/>
      <protection locked="true" hidden="false"/>
    </xf>
    <xf numFmtId="164" fontId="0" fillId="5" borderId="13" xfId="0" applyFont="false" applyBorder="true" applyAlignment="true" applyProtection="false">
      <alignment horizontal="general" vertical="center" textRotation="0" wrapText="false" indent="0" shrinkToFit="false"/>
      <protection locked="true" hidden="false"/>
    </xf>
    <xf numFmtId="164" fontId="0" fillId="0" borderId="14" xfId="0" applyFont="false" applyBorder="true" applyAlignment="true" applyProtection="false">
      <alignment horizontal="general" vertical="center" textRotation="0" wrapText="false" indent="0" shrinkToFit="false"/>
      <protection locked="true" hidden="false"/>
    </xf>
    <xf numFmtId="164" fontId="7" fillId="3" borderId="13" xfId="0" applyFont="true" applyBorder="true" applyAlignment="true" applyProtection="false">
      <alignment horizontal="general" vertical="center" textRotation="0" wrapText="false" indent="0" shrinkToFit="false"/>
      <protection locked="true" hidden="false"/>
    </xf>
    <xf numFmtId="164" fontId="13" fillId="3" borderId="13" xfId="0" applyFont="true" applyBorder="true" applyAlignment="true" applyProtection="false">
      <alignment horizontal="general" vertical="center" textRotation="0" wrapText="false" indent="0" shrinkToFit="false"/>
      <protection locked="true" hidden="false"/>
    </xf>
    <xf numFmtId="164" fontId="7" fillId="3" borderId="11" xfId="0" applyFont="true" applyBorder="true" applyAlignment="true" applyProtection="false">
      <alignment horizontal="general" vertical="center" textRotation="0" wrapText="false" indent="0" shrinkToFit="false"/>
      <protection locked="true" hidden="false"/>
    </xf>
    <xf numFmtId="164" fontId="13" fillId="3" borderId="14" xfId="0" applyFont="true" applyBorder="true" applyAlignment="true" applyProtection="false">
      <alignment horizontal="general" vertical="center" textRotation="0" wrapText="true" indent="0" shrinkToFit="false"/>
      <protection locked="true" hidden="false"/>
    </xf>
    <xf numFmtId="164" fontId="0" fillId="0" borderId="15" xfId="0" applyFont="true" applyBorder="true" applyAlignment="true" applyProtection="false">
      <alignment horizontal="center" vertical="center" textRotation="0" wrapText="false" indent="0" shrinkToFit="false"/>
      <protection locked="true" hidden="false"/>
    </xf>
    <xf numFmtId="164" fontId="0" fillId="0" borderId="16" xfId="0" applyFont="true" applyBorder="true" applyAlignment="true" applyProtection="false">
      <alignment horizontal="general" vertical="center" textRotation="0" wrapText="false" indent="0" shrinkToFit="false"/>
      <protection locked="true" hidden="false"/>
    </xf>
    <xf numFmtId="170" fontId="11" fillId="4" borderId="16" xfId="0" applyFont="true" applyBorder="true" applyAlignment="true" applyProtection="false">
      <alignment horizontal="general" vertical="center" textRotation="0" wrapText="false" indent="0" shrinkToFit="false"/>
      <protection locked="true" hidden="false"/>
    </xf>
    <xf numFmtId="164" fontId="12" fillId="0" borderId="17" xfId="0" applyFont="true" applyBorder="true" applyAlignment="true" applyProtection="false">
      <alignment horizontal="center" vertical="center" textRotation="0" wrapText="false" indent="0" shrinkToFit="false"/>
      <protection locked="true" hidden="false"/>
    </xf>
    <xf numFmtId="164" fontId="12" fillId="0" borderId="18"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left" vertical="center" textRotation="0" wrapText="false" indent="0" shrinkToFit="false"/>
      <protection locked="true" hidden="false"/>
    </xf>
    <xf numFmtId="164" fontId="0" fillId="5" borderId="19" xfId="0" applyFont="false" applyBorder="true" applyAlignment="true" applyProtection="false">
      <alignment horizontal="general" vertical="center" textRotation="0" wrapText="false" indent="0" shrinkToFit="false"/>
      <protection locked="true" hidden="false"/>
    </xf>
    <xf numFmtId="164" fontId="0" fillId="5" borderId="20" xfId="0" applyFont="false" applyBorder="true" applyAlignment="true" applyProtection="false">
      <alignment horizontal="general" vertical="center" textRotation="0" wrapText="false" indent="0" shrinkToFit="false"/>
      <protection locked="true" hidden="false"/>
    </xf>
    <xf numFmtId="164" fontId="0" fillId="5" borderId="21" xfId="0" applyFont="false" applyBorder="true" applyAlignment="true" applyProtection="false">
      <alignment horizontal="general" vertical="center" textRotation="0" wrapText="false" indent="0" shrinkToFit="false"/>
      <protection locked="true" hidden="false"/>
    </xf>
    <xf numFmtId="164" fontId="0" fillId="5" borderId="22" xfId="0" applyFont="false" applyBorder="true" applyAlignment="true" applyProtection="false">
      <alignment horizontal="general" vertical="center" textRotation="0" wrapText="false" indent="0" shrinkToFit="false"/>
      <protection locked="true" hidden="false"/>
    </xf>
    <xf numFmtId="164" fontId="0" fillId="5" borderId="23" xfId="0" applyFont="false" applyBorder="true" applyAlignment="true" applyProtection="false">
      <alignment horizontal="general" vertical="center" textRotation="0" wrapText="false" indent="0" shrinkToFit="false"/>
      <protection locked="true" hidden="false"/>
    </xf>
    <xf numFmtId="164" fontId="20" fillId="6" borderId="0" xfId="0" applyFont="true" applyBorder="false" applyAlignment="true" applyProtection="false">
      <alignment horizontal="general" vertical="center" textRotation="0" wrapText="false" indent="0" shrinkToFit="false"/>
      <protection locked="true" hidden="false"/>
    </xf>
    <xf numFmtId="164" fontId="0" fillId="0" borderId="24" xfId="0" applyFont="false" applyBorder="true" applyAlignment="true" applyProtection="false">
      <alignment horizontal="center" vertical="center" textRotation="0" wrapText="false" indent="0" shrinkToFit="false"/>
      <protection locked="true" hidden="false"/>
    </xf>
    <xf numFmtId="169" fontId="8" fillId="0" borderId="16" xfId="0" applyFont="true" applyBorder="true" applyAlignment="true" applyProtection="false">
      <alignment horizontal="general" vertical="center" textRotation="0" wrapText="false" indent="0" shrinkToFit="false"/>
      <protection locked="true" hidden="false"/>
    </xf>
    <xf numFmtId="164" fontId="0" fillId="0" borderId="25" xfId="0" applyFont="false" applyBorder="true" applyAlignment="true" applyProtection="false">
      <alignment horizontal="general" vertical="center" textRotation="0" wrapText="false" indent="0" shrinkToFit="false"/>
      <protection locked="true" hidden="false"/>
    </xf>
    <xf numFmtId="164" fontId="21" fillId="5" borderId="0" xfId="0" applyFont="true" applyBorder="false" applyAlignment="true" applyProtection="false">
      <alignment horizontal="general" vertical="center" textRotation="0" wrapText="false" indent="0" shrinkToFit="false"/>
      <protection locked="true" hidden="false"/>
    </xf>
    <xf numFmtId="164" fontId="0" fillId="0" borderId="4" xfId="0" applyFont="false" applyBorder="true" applyAlignment="true" applyProtection="false">
      <alignment horizontal="general" vertical="center" textRotation="0" wrapText="false" indent="0" shrinkToFit="false"/>
      <protection locked="true" hidden="false"/>
    </xf>
    <xf numFmtId="164" fontId="0" fillId="0" borderId="10" xfId="0" applyFont="false" applyBorder="true" applyAlignment="true" applyProtection="false">
      <alignment horizontal="general" vertical="center" textRotation="0" wrapText="false" indent="0" shrinkToFit="false"/>
      <protection locked="true" hidden="false"/>
    </xf>
    <xf numFmtId="164" fontId="17" fillId="0" borderId="10" xfId="0" applyFont="true" applyBorder="true" applyAlignment="true" applyProtection="false">
      <alignment horizontal="general" vertical="center" textRotation="0" wrapText="false" indent="0" shrinkToFit="false"/>
      <protection locked="true" hidden="false"/>
    </xf>
    <xf numFmtId="164" fontId="10" fillId="3" borderId="11" xfId="0" applyFont="true" applyBorder="true" applyAlignment="true" applyProtection="false">
      <alignment horizontal="general" vertical="center" textRotation="0" wrapText="false" indent="0" shrinkToFit="false"/>
      <protection locked="true" hidden="false"/>
    </xf>
    <xf numFmtId="164" fontId="5" fillId="2" borderId="13" xfId="0" applyFont="true" applyBorder="true" applyAlignment="true" applyProtection="false">
      <alignment horizontal="right" vertical="center" textRotation="0" wrapText="false" indent="0" shrinkToFit="false"/>
      <protection locked="true" hidden="false"/>
    </xf>
    <xf numFmtId="164" fontId="5" fillId="2" borderId="13" xfId="0" applyFont="true" applyBorder="true" applyAlignment="true" applyProtection="false">
      <alignment horizontal="center" vertical="center" textRotation="0" wrapText="false" indent="0" shrinkToFit="false"/>
      <protection locked="true" hidden="false"/>
    </xf>
    <xf numFmtId="164" fontId="5" fillId="2" borderId="13" xfId="0" applyFont="true" applyBorder="true" applyAlignment="true" applyProtection="false">
      <alignment horizontal="general" vertical="center" textRotation="0" wrapText="false" indent="0" shrinkToFit="false"/>
      <protection locked="true" hidden="false"/>
    </xf>
    <xf numFmtId="164" fontId="7" fillId="3" borderId="26" xfId="0" applyFont="true" applyBorder="true" applyAlignment="true" applyProtection="false">
      <alignment horizontal="general" vertical="center" textRotation="0" wrapText="false" indent="0" shrinkToFit="false"/>
      <protection locked="true" hidden="false"/>
    </xf>
    <xf numFmtId="164" fontId="13" fillId="3" borderId="1" xfId="0" applyFont="true" applyBorder="true" applyAlignment="true" applyProtection="false">
      <alignment horizontal="general" vertical="center" textRotation="0" wrapText="false" indent="0" shrinkToFit="false"/>
      <protection locked="true" hidden="false"/>
    </xf>
    <xf numFmtId="164" fontId="13" fillId="3" borderId="27" xfId="0" applyFont="true" applyBorder="true" applyAlignment="true" applyProtection="false">
      <alignment horizontal="general" vertical="center" textRotation="0" wrapText="false" indent="0" shrinkToFit="false"/>
      <protection locked="true" hidden="false"/>
    </xf>
    <xf numFmtId="164" fontId="7" fillId="3" borderId="28" xfId="0" applyFont="true" applyBorder="true" applyAlignment="true" applyProtection="false">
      <alignment horizontal="general" vertical="center" textRotation="0" wrapText="false" indent="0" shrinkToFit="false"/>
      <protection locked="true" hidden="false"/>
    </xf>
    <xf numFmtId="164" fontId="0" fillId="0" borderId="26" xfId="0" applyFont="true" applyBorder="true" applyAlignment="true" applyProtection="false">
      <alignment horizontal="general" vertical="center" textRotation="0" wrapText="false" indent="0" shrinkToFit="false"/>
      <protection locked="true" hidden="false"/>
    </xf>
    <xf numFmtId="171" fontId="8" fillId="0" borderId="3" xfId="0" applyFont="true" applyBorder="true" applyAlignment="true" applyProtection="false">
      <alignment horizontal="general" vertical="center" textRotation="0" wrapText="false" indent="0" shrinkToFit="false"/>
      <protection locked="true" hidden="false"/>
    </xf>
    <xf numFmtId="165" fontId="0" fillId="0" borderId="4" xfId="0" applyFont="false" applyBorder="true" applyAlignment="true" applyProtection="false">
      <alignment horizontal="general" vertical="center" textRotation="0" wrapText="false" indent="0" shrinkToFit="false"/>
      <protection locked="true" hidden="false"/>
    </xf>
    <xf numFmtId="171" fontId="8" fillId="0" borderId="29" xfId="0" applyFont="true" applyBorder="true" applyAlignment="true" applyProtection="false">
      <alignment horizontal="general" vertical="center" textRotation="0" wrapText="false" indent="0" shrinkToFit="false"/>
      <protection locked="true" hidden="false"/>
    </xf>
    <xf numFmtId="164" fontId="12" fillId="0" borderId="28" xfId="0" applyFont="true" applyBorder="true" applyAlignment="true" applyProtection="false">
      <alignment horizontal="general" vertical="center" textRotation="0" wrapText="false" indent="0" shrinkToFit="false"/>
      <protection locked="true" hidden="false"/>
    </xf>
    <xf numFmtId="164" fontId="17" fillId="0" borderId="28" xfId="0" applyFont="true" applyBorder="true" applyAlignment="true" applyProtection="false">
      <alignment horizontal="general" vertical="center" textRotation="0" wrapText="false" indent="0" shrinkToFit="false"/>
      <protection locked="true" hidden="false"/>
    </xf>
    <xf numFmtId="164" fontId="10" fillId="3" borderId="13" xfId="0" applyFont="true" applyBorder="true" applyAlignment="true" applyProtection="false">
      <alignment horizontal="general" vertical="center" textRotation="0" wrapText="false" indent="0" shrinkToFit="false"/>
      <protection locked="true" hidden="false"/>
    </xf>
    <xf numFmtId="164" fontId="5" fillId="2" borderId="30" xfId="0" applyFont="true" applyBorder="true" applyAlignment="true" applyProtection="false">
      <alignment horizontal="right" vertical="center" textRotation="0" wrapText="false" indent="0" shrinkToFit="false"/>
      <protection locked="true" hidden="false"/>
    </xf>
    <xf numFmtId="164" fontId="5" fillId="2" borderId="31" xfId="0" applyFont="true" applyBorder="true" applyAlignment="true" applyProtection="false">
      <alignment horizontal="general" vertical="center" textRotation="0" wrapText="false" indent="0" shrinkToFit="false"/>
      <protection locked="true" hidden="false"/>
    </xf>
    <xf numFmtId="164" fontId="7" fillId="3" borderId="7" xfId="0" applyFont="true" applyBorder="true" applyAlignment="true" applyProtection="false">
      <alignment horizontal="general" vertical="center" textRotation="0" wrapText="false" indent="0" shrinkToFit="false"/>
      <protection locked="true" hidden="false"/>
    </xf>
    <xf numFmtId="164" fontId="13" fillId="3" borderId="32" xfId="0" applyFont="true" applyBorder="true" applyAlignment="true" applyProtection="false">
      <alignment horizontal="general" vertical="center" textRotation="0" wrapText="false" indent="0" shrinkToFit="false"/>
      <protection locked="true" hidden="false"/>
    </xf>
    <xf numFmtId="164" fontId="13" fillId="3" borderId="5" xfId="0" applyFont="true" applyBorder="true" applyAlignment="true" applyProtection="false">
      <alignment horizontal="general" vertical="center" textRotation="0" wrapText="false" indent="0" shrinkToFit="false"/>
      <protection locked="true" hidden="false"/>
    </xf>
    <xf numFmtId="164" fontId="13" fillId="3" borderId="2"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66" fontId="8" fillId="0" borderId="3" xfId="0" applyFont="true" applyBorder="true" applyAlignment="true" applyProtection="false">
      <alignment horizontal="general" vertical="center" textRotation="0" wrapText="false" indent="0" shrinkToFit="false"/>
      <protection locked="true" hidden="false"/>
    </xf>
    <xf numFmtId="166" fontId="0" fillId="0" borderId="4" xfId="0" applyFont="false" applyBorder="true" applyAlignment="true" applyProtection="false">
      <alignment horizontal="general" vertical="center" textRotation="0" wrapText="false" indent="0" shrinkToFit="false"/>
      <protection locked="true" hidden="false"/>
    </xf>
    <xf numFmtId="164" fontId="7" fillId="3" borderId="33" xfId="0" applyFont="true" applyBorder="true" applyAlignment="true" applyProtection="false">
      <alignment horizontal="general" vertical="center" textRotation="0" wrapText="false" indent="0" shrinkToFit="false"/>
      <protection locked="true" hidden="false"/>
    </xf>
    <xf numFmtId="164" fontId="7" fillId="3" borderId="34" xfId="0" applyFont="true" applyBorder="true" applyAlignment="true" applyProtection="false">
      <alignment horizontal="general" vertical="center" textRotation="0" wrapText="false" indent="0" shrinkToFit="false"/>
      <protection locked="true" hidden="false"/>
    </xf>
    <xf numFmtId="164" fontId="13" fillId="3" borderId="28"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7" fillId="3" borderId="32" xfId="0" applyFont="true" applyBorder="true" applyAlignment="true" applyProtection="false">
      <alignment horizontal="general" vertical="center" textRotation="0" wrapText="false" indent="0" shrinkToFit="false"/>
      <protection locked="true" hidden="false"/>
    </xf>
    <xf numFmtId="164" fontId="7" fillId="3" borderId="35" xfId="0" applyFont="true" applyBorder="true" applyAlignment="true" applyProtection="false">
      <alignment horizontal="general" vertical="center" textRotation="0" wrapText="false" indent="0" shrinkToFit="false"/>
      <protection locked="true" hidden="false"/>
    </xf>
    <xf numFmtId="164" fontId="19" fillId="3" borderId="19" xfId="0" applyFont="true" applyBorder="true" applyAlignment="true" applyProtection="false">
      <alignment horizontal="center" vertical="center" textRotation="0" wrapText="false" indent="0" shrinkToFit="false"/>
      <protection locked="true" hidden="false"/>
    </xf>
    <xf numFmtId="164" fontId="0" fillId="0" borderId="21" xfId="0" applyFont="false" applyBorder="true" applyAlignment="true" applyProtection="false">
      <alignment horizontal="center" vertical="center" textRotation="0" wrapText="false" indent="0" shrinkToFit="false"/>
      <protection locked="true" hidden="false"/>
    </xf>
    <xf numFmtId="164" fontId="5" fillId="2" borderId="30" xfId="0" applyFont="true" applyBorder="true" applyAlignment="true" applyProtection="false">
      <alignment horizontal="center" vertical="center" textRotation="0" wrapText="false" indent="0" shrinkToFit="false"/>
      <protection locked="true" hidden="false"/>
    </xf>
    <xf numFmtId="164" fontId="5" fillId="2" borderId="31" xfId="0" applyFont="true" applyBorder="true" applyAlignment="true" applyProtection="false">
      <alignment horizontal="center" vertical="center" textRotation="0" wrapText="false" indent="0" shrinkToFit="false"/>
      <protection locked="true" hidden="false"/>
    </xf>
    <xf numFmtId="164" fontId="5" fillId="2" borderId="30" xfId="0" applyFont="true" applyBorder="true" applyAlignment="true" applyProtection="false">
      <alignment horizontal="general" vertical="center" textRotation="0" wrapText="false" indent="0" shrinkToFit="false"/>
      <protection locked="true" hidden="false"/>
    </xf>
    <xf numFmtId="164" fontId="5" fillId="2" borderId="36" xfId="0" applyFont="true" applyBorder="true" applyAlignment="true" applyProtection="false">
      <alignment horizontal="general" vertical="center" textRotation="0" wrapText="false" indent="0" shrinkToFit="false"/>
      <protection locked="true" hidden="false"/>
    </xf>
    <xf numFmtId="164" fontId="13" fillId="3" borderId="13" xfId="0" applyFont="true" applyBorder="true" applyAlignment="true" applyProtection="false">
      <alignment horizontal="center" vertical="center" textRotation="0" wrapText="false" indent="0" shrinkToFit="false"/>
      <protection locked="true" hidden="false"/>
    </xf>
    <xf numFmtId="164" fontId="13" fillId="3" borderId="36" xfId="0" applyFont="true" applyBorder="true" applyAlignment="true" applyProtection="false">
      <alignment horizontal="general" vertical="center" textRotation="0" wrapText="false" indent="0" shrinkToFit="false"/>
      <protection locked="true" hidden="false"/>
    </xf>
    <xf numFmtId="164" fontId="13" fillId="3" borderId="11" xfId="0" applyFont="true" applyBorder="true" applyAlignment="true" applyProtection="false">
      <alignment horizontal="center" vertical="center" textRotation="0" wrapText="false" indent="0" shrinkToFit="false"/>
      <protection locked="true" hidden="false"/>
    </xf>
    <xf numFmtId="164" fontId="13" fillId="3" borderId="37" xfId="0" applyFont="true" applyBorder="true" applyAlignment="true" applyProtection="false">
      <alignment horizontal="center" vertical="center" textRotation="0" wrapText="false" indent="0" shrinkToFit="false"/>
      <protection locked="true" hidden="false"/>
    </xf>
    <xf numFmtId="164" fontId="7" fillId="3" borderId="37" xfId="0" applyFont="true" applyBorder="true" applyAlignment="true" applyProtection="false">
      <alignment horizontal="general" vertical="center" textRotation="0" wrapText="false" indent="0" shrinkToFit="false"/>
      <protection locked="true" hidden="false"/>
    </xf>
    <xf numFmtId="164" fontId="0" fillId="0" borderId="38" xfId="0" applyFont="true" applyBorder="true" applyAlignment="true" applyProtection="false">
      <alignment horizontal="general" vertical="center" textRotation="0" wrapText="false" indent="0" shrinkToFit="false"/>
      <protection locked="true" hidden="false"/>
    </xf>
    <xf numFmtId="166" fontId="8" fillId="0" borderId="38" xfId="0" applyFont="true" applyBorder="true" applyAlignment="true" applyProtection="false">
      <alignment horizontal="general" vertical="center" textRotation="0" wrapText="false" indent="0" shrinkToFit="false"/>
      <protection locked="true" hidden="false"/>
    </xf>
    <xf numFmtId="166" fontId="0" fillId="0" borderId="1" xfId="0" applyFont="false" applyBorder="true" applyAlignment="true" applyProtection="false">
      <alignment horizontal="general" vertical="center" textRotation="0" wrapText="false" indent="0" shrinkToFit="false"/>
      <protection locked="true" hidden="false"/>
    </xf>
    <xf numFmtId="166" fontId="0" fillId="0" borderId="2" xfId="0" applyFont="false" applyBorder="true" applyAlignment="true" applyProtection="false">
      <alignment horizontal="general" vertical="center" textRotation="0" wrapText="false" indent="0" shrinkToFit="false"/>
      <protection locked="true" hidden="false"/>
    </xf>
    <xf numFmtId="164" fontId="12" fillId="0" borderId="38" xfId="0" applyFont="true" applyBorder="true" applyAlignment="true" applyProtection="false">
      <alignment horizontal="general" vertical="center" textRotation="0" wrapText="false" indent="0" shrinkToFit="false"/>
      <protection locked="true" hidden="false"/>
    </xf>
    <xf numFmtId="164" fontId="0" fillId="0" borderId="11" xfId="0" applyFont="true" applyBorder="true" applyAlignment="true" applyProtection="false">
      <alignment horizontal="general" vertical="center" textRotation="0" wrapText="false" indent="0" shrinkToFit="false"/>
      <protection locked="true" hidden="false"/>
    </xf>
    <xf numFmtId="166" fontId="8" fillId="0" borderId="39" xfId="0" applyFont="true" applyBorder="true" applyAlignment="true" applyProtection="false">
      <alignment horizontal="general" vertical="center" textRotation="0" wrapText="false" indent="0" shrinkToFit="false"/>
      <protection locked="true" hidden="false"/>
    </xf>
    <xf numFmtId="170" fontId="0" fillId="0" borderId="39" xfId="0" applyFont="false" applyBorder="true" applyAlignment="true" applyProtection="false">
      <alignment horizontal="general" vertical="center" textRotation="0" wrapText="false" indent="0" shrinkToFit="false"/>
      <protection locked="true" hidden="false"/>
    </xf>
    <xf numFmtId="166" fontId="8" fillId="0" borderId="36" xfId="0" applyFont="true" applyBorder="true" applyAlignment="true" applyProtection="false">
      <alignment horizontal="general" vertical="center" textRotation="0" wrapText="false" indent="0" shrinkToFit="false"/>
      <protection locked="true" hidden="false"/>
    </xf>
    <xf numFmtId="164" fontId="17" fillId="0" borderId="37" xfId="0" applyFont="true" applyBorder="true" applyAlignment="true" applyProtection="false">
      <alignment horizontal="general" vertical="center" textRotation="0" wrapText="false" indent="0" shrinkToFit="false"/>
      <protection locked="true" hidden="false"/>
    </xf>
    <xf numFmtId="164" fontId="0" fillId="0" borderId="40" xfId="0" applyFont="true" applyBorder="true" applyAlignment="true" applyProtection="false">
      <alignment horizontal="general" vertical="center" textRotation="0" wrapText="false" indent="0" shrinkToFit="false"/>
      <protection locked="true" hidden="false"/>
    </xf>
    <xf numFmtId="166" fontId="8" fillId="0" borderId="40" xfId="0" applyFont="true" applyBorder="true" applyAlignment="true" applyProtection="false">
      <alignment horizontal="general" vertical="center" textRotation="0" wrapText="false" indent="0" shrinkToFit="false"/>
      <protection locked="true" hidden="false"/>
    </xf>
    <xf numFmtId="166" fontId="0" fillId="0" borderId="3" xfId="0" applyFont="false" applyBorder="true" applyAlignment="true" applyProtection="false">
      <alignment horizontal="general" vertical="center" textRotation="0" wrapText="false" indent="0" shrinkToFit="false"/>
      <protection locked="true" hidden="false"/>
    </xf>
    <xf numFmtId="164" fontId="12" fillId="0" borderId="40" xfId="0" applyFont="true" applyBorder="tru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center" textRotation="0" wrapText="false" indent="0" shrinkToFit="false"/>
      <protection locked="true" hidden="false"/>
    </xf>
    <xf numFmtId="166" fontId="8" fillId="0" borderId="0" xfId="0" applyFont="true" applyBorder="false" applyAlignment="true" applyProtection="false">
      <alignment horizontal="general" vertical="center" textRotation="0" wrapText="false" indent="0" shrinkToFit="false"/>
      <protection locked="true" hidden="false"/>
    </xf>
    <xf numFmtId="170" fontId="0" fillId="0" borderId="0" xfId="0" applyFont="false" applyBorder="false" applyAlignment="true" applyProtection="false">
      <alignment horizontal="general" vertical="center" textRotation="0" wrapText="false" indent="0" shrinkToFit="false"/>
      <protection locked="true" hidden="false"/>
    </xf>
    <xf numFmtId="166" fontId="8" fillId="0" borderId="19" xfId="0" applyFont="true" applyBorder="true" applyAlignment="true" applyProtection="false">
      <alignment horizontal="general" vertical="center" textRotation="0" wrapText="false" indent="0" shrinkToFit="false"/>
      <protection locked="true" hidden="false"/>
    </xf>
    <xf numFmtId="164" fontId="12" fillId="0" borderId="20" xfId="0" applyFont="true" applyBorder="true" applyAlignment="true" applyProtection="false">
      <alignment horizontal="general" vertical="center" textRotation="0" wrapText="false" indent="0" shrinkToFit="false"/>
      <protection locked="true" hidden="false"/>
    </xf>
    <xf numFmtId="166" fontId="0" fillId="0" borderId="25" xfId="0" applyFont="false" applyBorder="true" applyAlignment="true" applyProtection="false">
      <alignment horizontal="general" vertical="center" textRotation="0" wrapText="false" indent="0" shrinkToFit="false"/>
      <protection locked="true" hidden="false"/>
    </xf>
    <xf numFmtId="164" fontId="0" fillId="0" borderId="41" xfId="0" applyFont="true" applyBorder="true" applyAlignment="true" applyProtection="false">
      <alignment horizontal="general" vertical="center" textRotation="0" wrapText="false" indent="0" shrinkToFit="false"/>
      <protection locked="true" hidden="false"/>
    </xf>
    <xf numFmtId="166" fontId="8" fillId="0" borderId="22" xfId="0" applyFont="true" applyBorder="true" applyAlignment="true" applyProtection="false">
      <alignment horizontal="general" vertical="center" textRotation="0" wrapText="false" indent="0" shrinkToFit="false"/>
      <protection locked="true" hidden="false"/>
    </xf>
    <xf numFmtId="170" fontId="0" fillId="0" borderId="22" xfId="0" applyFont="false" applyBorder="true" applyAlignment="true" applyProtection="false">
      <alignment horizontal="general" vertical="center" textRotation="0" wrapText="false" indent="0" shrinkToFit="false"/>
      <protection locked="true" hidden="false"/>
    </xf>
    <xf numFmtId="166" fontId="8" fillId="0" borderId="21" xfId="0" applyFont="true" applyBorder="true" applyAlignment="true" applyProtection="false">
      <alignment horizontal="general" vertical="center" textRotation="0" wrapText="false" indent="0" shrinkToFit="false"/>
      <protection locked="true" hidden="false"/>
    </xf>
    <xf numFmtId="164" fontId="12" fillId="0" borderId="23" xfId="0" applyFont="true" applyBorder="true" applyAlignment="true" applyProtection="false">
      <alignment horizontal="general" vertical="center" textRotation="0" wrapText="false" indent="0" shrinkToFit="false"/>
      <protection locked="true" hidden="false"/>
    </xf>
    <xf numFmtId="164" fontId="0" fillId="0" borderId="42" xfId="0" applyFont="true" applyBorder="true" applyAlignment="true" applyProtection="false">
      <alignment horizontal="general" vertical="center" textRotation="0" wrapText="false" indent="0" shrinkToFit="false"/>
      <protection locked="true" hidden="false"/>
    </xf>
    <xf numFmtId="166" fontId="8" fillId="0" borderId="42" xfId="0" applyFont="true" applyBorder="true" applyAlignment="true" applyProtection="false">
      <alignment horizontal="general" vertical="center" textRotation="0" wrapText="false" indent="0" shrinkToFit="false"/>
      <protection locked="true" hidden="false"/>
    </xf>
    <xf numFmtId="166" fontId="0" fillId="0" borderId="8" xfId="0" applyFont="false" applyBorder="true" applyAlignment="true" applyProtection="false">
      <alignment horizontal="general" vertical="center" textRotation="0" wrapText="false" indent="0" shrinkToFit="false"/>
      <protection locked="true" hidden="false"/>
    </xf>
    <xf numFmtId="166" fontId="0" fillId="0" borderId="10" xfId="0" applyFont="false" applyBorder="true" applyAlignment="true" applyProtection="false">
      <alignment horizontal="general" vertical="center" textRotation="0" wrapText="false" indent="0" shrinkToFit="false"/>
      <protection locked="true" hidden="false"/>
    </xf>
    <xf numFmtId="166" fontId="8" fillId="0" borderId="41" xfId="0" applyFont="true" applyBorder="true" applyAlignment="true" applyProtection="false">
      <alignment horizontal="general" vertical="center" textRotation="0" wrapText="false" indent="0" shrinkToFit="false"/>
      <protection locked="true" hidden="false"/>
    </xf>
    <xf numFmtId="166" fontId="0" fillId="0" borderId="43" xfId="0" applyFont="false" applyBorder="true" applyAlignment="true" applyProtection="false">
      <alignment horizontal="general" vertical="center" textRotation="0" wrapText="false" indent="0" shrinkToFit="false"/>
      <protection locked="true" hidden="false"/>
    </xf>
    <xf numFmtId="166" fontId="0" fillId="0" borderId="44" xfId="0" applyFont="false" applyBorder="true" applyAlignment="true" applyProtection="false">
      <alignment horizontal="general" vertical="center" textRotation="0" wrapText="false" indent="0" shrinkToFit="false"/>
      <protection locked="true" hidden="false"/>
    </xf>
    <xf numFmtId="166" fontId="0" fillId="0" borderId="45" xfId="0" applyFont="false" applyBorder="true" applyAlignment="true" applyProtection="false">
      <alignment horizontal="general" vertical="center" textRotation="0" wrapText="false" indent="0" shrinkToFit="false"/>
      <protection locked="true" hidden="false"/>
    </xf>
    <xf numFmtId="164" fontId="12" fillId="0" borderId="13" xfId="0" applyFont="true" applyBorder="tru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7" fillId="3" borderId="33" xfId="0" applyFont="true" applyBorder="true" applyAlignment="true" applyProtection="false">
      <alignment horizontal="center" vertical="center" textRotation="0" wrapText="true" indent="0" shrinkToFit="false"/>
      <protection locked="true" hidden="false"/>
    </xf>
    <xf numFmtId="172" fontId="6"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6" fillId="0" borderId="39" xfId="0" applyFont="true" applyBorder="true" applyAlignment="true" applyProtection="false">
      <alignment horizontal="general" vertical="bottom" textRotation="0" wrapText="false" indent="0" shrinkToFit="false"/>
      <protection locked="true" hidden="false"/>
    </xf>
    <xf numFmtId="172" fontId="6" fillId="0" borderId="39" xfId="0" applyFont="true" applyBorder="true" applyAlignment="true" applyProtection="false">
      <alignment horizontal="general" vertical="bottom" textRotation="0" wrapText="false" indent="0" shrinkToFit="false"/>
      <protection locked="true" hidden="false"/>
    </xf>
    <xf numFmtId="164" fontId="0" fillId="0" borderId="39" xfId="0" applyFont="false" applyBorder="true" applyAlignment="true" applyProtection="false">
      <alignment horizontal="general" vertical="bottom" textRotation="0" wrapText="false" indent="0" shrinkToFit="false"/>
      <protection locked="true" hidden="false"/>
    </xf>
    <xf numFmtId="173" fontId="6" fillId="0" borderId="39" xfId="0" applyFont="true" applyBorder="true" applyAlignment="true" applyProtection="false">
      <alignment horizontal="general" vertical="bottom" textRotation="0" wrapText="false" indent="0" shrinkToFit="false"/>
      <protection locked="true" hidden="false"/>
    </xf>
    <xf numFmtId="174" fontId="6" fillId="0" borderId="39"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F7530"/>
      <rgbColor rgb="FF800080"/>
      <rgbColor rgb="FF276A7C"/>
      <rgbColor rgb="FFBFBFBF"/>
      <rgbColor rgb="FF4F81BD"/>
      <rgbColor rgb="FF9999FF"/>
      <rgbColor rgb="FFC0504D"/>
      <rgbColor rgb="FFFFF2CC"/>
      <rgbColor rgb="FFF2F2F2"/>
      <rgbColor rgb="FF660066"/>
      <rgbColor rgb="FFFF8080"/>
      <rgbColor rgb="FF2C4D75"/>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FCC99"/>
      <rgbColor rgb="FF3366FF"/>
      <rgbColor rgb="FF4BACC6"/>
      <rgbColor rgb="FF9BBB59"/>
      <rgbColor rgb="FFFFCC00"/>
      <rgbColor rgb="FFF79646"/>
      <rgbColor rgb="FFFF6600"/>
      <rgbColor rgb="FF8064A2"/>
      <rgbColor rgb="FFA6A6A6"/>
      <rgbColor rgb="FF1F4E79"/>
      <rgbColor rgb="FF339966"/>
      <rgbColor rgb="FF003300"/>
      <rgbColor rgb="FF4D3B62"/>
      <rgbColor rgb="FF772C2A"/>
      <rgbColor rgb="FF595959"/>
      <rgbColor rgb="FF1F497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000000"/>
                </a:solidFill>
                <a:latin typeface="Calibri"/>
                <a:ea typeface="Calibri"/>
              </a:defRPr>
            </a:pPr>
            <a:r>
              <a:rPr b="0" lang="en-US" sz="1600" spc="-1" strike="noStrike">
                <a:solidFill>
                  <a:srgbClr val="000000"/>
                </a:solidFill>
                <a:latin typeface="Calibri"/>
                <a:ea typeface="Calibri"/>
              </a:rPr>
              <a:t>Composition of Carbon Streams</a:t>
            </a:r>
          </a:p>
        </c:rich>
      </c:tx>
      <c:overlay val="0"/>
      <c:spPr>
        <a:noFill/>
        <a:ln w="0">
          <a:noFill/>
        </a:ln>
      </c:spPr>
    </c:title>
    <c:autoTitleDeleted val="0"/>
    <c:plotArea>
      <c:pieChart>
        <c:varyColors val="1"/>
        <c:ser>
          <c:idx val="0"/>
          <c:order val="0"/>
          <c:tx>
            <c:strRef>
              <c:f>Inputs!$C$5</c:f>
              <c:strCache>
                <c:ptCount val="1"/>
                <c:pt idx="0">
                  <c:v>kg_C/a</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Lbls>
            <c:dLbl>
              <c:idx val="0"/>
              <c:txPr>
                <a:bodyPr wrap="square"/>
                <a:lstStyle/>
                <a:p>
                  <a:pPr>
                    <a:defRPr b="1" sz="12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2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2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2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2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2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2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Inputs!$A$6:$A$11</c:f>
              <c:strCache>
                <c:ptCount val="6"/>
                <c:pt idx="0">
                  <c:v>CO2</c:v>
                </c:pt>
                <c:pt idx="1">
                  <c:v>Wet_Organics</c:v>
                </c:pt>
                <c:pt idx="2">
                  <c:v>Cellulose</c:v>
                </c:pt>
                <c:pt idx="3">
                  <c:v>Polyesters</c:v>
                </c:pt>
                <c:pt idx="4">
                  <c:v>Polyamides</c:v>
                </c:pt>
                <c:pt idx="5">
                  <c:v>Recalc_Plastics</c:v>
                </c:pt>
              </c:strCache>
            </c:strRef>
          </c:cat>
          <c:val>
            <c:numRef>
              <c:f>Inputs!$C$6:$C$11</c:f>
              <c:numCache>
                <c:formatCode>0.0</c:formatCode>
                <c:ptCount val="6"/>
                <c:pt idx="0">
                  <c:v>568.675</c:v>
                </c:pt>
                <c:pt idx="1">
                  <c:v>342.792</c:v>
                </c:pt>
                <c:pt idx="2">
                  <c:v>614.24306</c:v>
                </c:pt>
                <c:pt idx="3">
                  <c:v>225.59205</c:v>
                </c:pt>
                <c:pt idx="4">
                  <c:v>80.54025</c:v>
                </c:pt>
                <c:pt idx="5">
                  <c:v>1637.91096</c:v>
                </c:pt>
              </c:numCache>
            </c:numRef>
          </c:val>
        </c:ser>
        <c:firstSliceAng val="0"/>
      </c:pieChart>
      <c:spPr>
        <a:noFill/>
        <a:ln w="0">
          <a:noFill/>
        </a:ln>
      </c:spPr>
    </c:plotArea>
    <c:legend>
      <c:legendPos val="b"/>
      <c:overlay val="0"/>
      <c:spPr>
        <a:noFill/>
        <a:ln w="0">
          <a:noFill/>
        </a:ln>
      </c:spPr>
      <c:txPr>
        <a:bodyPr/>
        <a:lstStyle/>
        <a:p>
          <a:pPr>
            <a:defRPr b="0" sz="1200" spc="-1" strike="noStrike">
              <a:solidFill>
                <a:srgbClr val="000000"/>
              </a:solidFill>
              <a:latin typeface="Calibri"/>
              <a:ea typeface="Calibri"/>
            </a:defRPr>
          </a:pPr>
        </a:p>
      </c:txPr>
    </c:legend>
    <c:plotVisOnly val="1"/>
    <c:dispBlanksAs val="gap"/>
  </c:chart>
  <c:spPr>
    <a:no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Reactor Volumes [L] (Conservative)</a:t>
            </a:r>
          </a:p>
        </c:rich>
      </c:tx>
      <c:overlay val="0"/>
      <c:spPr>
        <a:noFill/>
        <a:ln w="0">
          <a:noFill/>
        </a:ln>
      </c:spPr>
    </c:title>
    <c:autoTitleDeleted val="0"/>
    <c:plotArea>
      <c:pieChart>
        <c:varyColors val="1"/>
        <c:ser>
          <c:idx val="0"/>
          <c:order val="0"/>
          <c:tx>
            <c:strRef>
              <c:f>Theoretical!$C$18</c:f>
              <c:strCache>
                <c:ptCount val="1"/>
                <c:pt idx="0">
                  <c:v>Reactor Vol [L]</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Theoretical!$A$19:$A$29</c:f>
              <c:strCache>
                <c:ptCount val="11"/>
                <c:pt idx="0">
                  <c:v>CO2 | Photoautotroph (aerobic)</c:v>
                </c:pt>
                <c:pt idx="1">
                  <c:v>CO2 | Lithoautotroph (aerobic)</c:v>
                </c:pt>
                <c:pt idx="2">
                  <c:v>CO | Lithoautotroph (anaerobic)</c:v>
                </c:pt>
                <c:pt idx="3">
                  <c:v>CH4 | Methanotroph (aerobic)</c:v>
                </c:pt>
                <c:pt idx="4">
                  <c:v>VFAs | Heterotroph (aerobic)</c:v>
                </c:pt>
                <c:pt idx="5">
                  <c:v>Wet_Organics | Heterotroph (aerobic)</c:v>
                </c:pt>
                <c:pt idx="6">
                  <c:v>Wet_Organics | Mixotroph (aerobic)</c:v>
                </c:pt>
                <c:pt idx="7">
                  <c:v>Wet_Organics | Heterotroph (anaerobic)</c:v>
                </c:pt>
                <c:pt idx="8">
                  <c:v>Cellulose | Enzymatic</c:v>
                </c:pt>
                <c:pt idx="9">
                  <c:v>Polyesters | Biochemical</c:v>
                </c:pt>
                <c:pt idx="10">
                  <c:v>Polyamides | Biochemical</c:v>
                </c:pt>
              </c:strCache>
            </c:strRef>
          </c:cat>
          <c:val>
            <c:numRef>
              <c:f>Theoretical!$C$19:$C$29</c:f>
              <c:numCache>
                <c:formatCode>0</c:formatCode>
                <c:ptCount val="11"/>
                <c:pt idx="0">
                  <c:v>4664.09149753425</c:v>
                </c:pt>
                <c:pt idx="1">
                  <c:v>878.390040752092</c:v>
                </c:pt>
                <c:pt idx="2">
                  <c:v>64.8632554775937</c:v>
                </c:pt>
                <c:pt idx="3">
                  <c:v>726.0318114888</c:v>
                </c:pt>
                <c:pt idx="4">
                  <c:v>103.65506837853</c:v>
                </c:pt>
                <c:pt idx="5">
                  <c:v>15.9961525275509</c:v>
                </c:pt>
                <c:pt idx="6">
                  <c:v>5.33205084251698</c:v>
                </c:pt>
                <c:pt idx="7">
                  <c:v>1690.48109589041</c:v>
                </c:pt>
                <c:pt idx="8">
                  <c:v>1529.87063511831</c:v>
                </c:pt>
                <c:pt idx="9">
                  <c:v>1329.16217410517</c:v>
                </c:pt>
                <c:pt idx="10">
                  <c:v>2372.66902342024</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Reactor Volumes [L] (Aggressive)</a:t>
            </a:r>
          </a:p>
        </c:rich>
      </c:tx>
      <c:overlay val="0"/>
      <c:spPr>
        <a:noFill/>
        <a:ln w="0">
          <a:noFill/>
        </a:ln>
      </c:spPr>
    </c:title>
    <c:autoTitleDeleted val="0"/>
    <c:plotArea>
      <c:pieChart>
        <c:varyColors val="1"/>
        <c:ser>
          <c:idx val="0"/>
          <c:order val="0"/>
          <c:tx>
            <c:strRef>
              <c:f>Theoretical!$F$18</c:f>
              <c:strCache>
                <c:ptCount val="1"/>
                <c:pt idx="0">
                  <c:v>Reactor Vol [L]</c:v>
                </c:pt>
              </c:strCache>
            </c:strRef>
          </c:tx>
          <c:spPr>
            <a:solidFill>
              <a:srgbClr val="c0504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Theoretical!$A$19:$A$29</c:f>
              <c:strCache>
                <c:ptCount val="11"/>
                <c:pt idx="0">
                  <c:v>CO2 | Photoautotroph (aerobic)</c:v>
                </c:pt>
                <c:pt idx="1">
                  <c:v>CO2 | Lithoautotroph (aerobic)</c:v>
                </c:pt>
                <c:pt idx="2">
                  <c:v>CO | Lithoautotroph (anaerobic)</c:v>
                </c:pt>
                <c:pt idx="3">
                  <c:v>CH4 | Methanotroph (aerobic)</c:v>
                </c:pt>
                <c:pt idx="4">
                  <c:v>VFAs | Heterotroph (aerobic)</c:v>
                </c:pt>
                <c:pt idx="5">
                  <c:v>Wet_Organics | Heterotroph (aerobic)</c:v>
                </c:pt>
                <c:pt idx="6">
                  <c:v>Wet_Organics | Mixotroph (aerobic)</c:v>
                </c:pt>
                <c:pt idx="7">
                  <c:v>Wet_Organics | Heterotroph (anaerobic)</c:v>
                </c:pt>
                <c:pt idx="8">
                  <c:v>Cellulose | Enzymatic</c:v>
                </c:pt>
                <c:pt idx="9">
                  <c:v>Polyesters | Biochemical</c:v>
                </c:pt>
                <c:pt idx="10">
                  <c:v>Polyamides | Biochemical</c:v>
                </c:pt>
              </c:strCache>
            </c:strRef>
          </c:cat>
          <c:val>
            <c:numRef>
              <c:f>Theoretical!$F$19:$F$29</c:f>
              <c:numCache>
                <c:formatCode>0</c:formatCode>
                <c:ptCount val="11"/>
                <c:pt idx="0">
                  <c:v>25.2477343526628</c:v>
                </c:pt>
                <c:pt idx="1">
                  <c:v>24.8907530909946</c:v>
                </c:pt>
                <c:pt idx="2">
                  <c:v>40.5076589158402</c:v>
                </c:pt>
                <c:pt idx="3">
                  <c:v>513.630664503429</c:v>
                </c:pt>
                <c:pt idx="4">
                  <c:v>17.09588801382</c:v>
                </c:pt>
                <c:pt idx="5">
                  <c:v>5.9985571978316</c:v>
                </c:pt>
                <c:pt idx="6">
                  <c:v>17.9956715934948</c:v>
                </c:pt>
                <c:pt idx="7">
                  <c:v>234.78904109589</c:v>
                </c:pt>
                <c:pt idx="8">
                  <c:v>210.25776608805</c:v>
                </c:pt>
                <c:pt idx="9">
                  <c:v>82.353591619263</c:v>
                </c:pt>
                <c:pt idx="10">
                  <c:v>147.00825799077</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Total Biomass [kg/a] (Conservative)</a:t>
            </a:r>
          </a:p>
        </c:rich>
      </c:tx>
      <c:overlay val="0"/>
      <c:spPr>
        <a:noFill/>
        <a:ln w="0">
          <a:noFill/>
        </a:ln>
      </c:spPr>
    </c:title>
    <c:autoTitleDeleted val="0"/>
    <c:plotArea>
      <c:pieChart>
        <c:varyColors val="1"/>
        <c:ser>
          <c:idx val="0"/>
          <c:order val="0"/>
          <c:tx>
            <c:strRef>
              <c:f>Theoretical!$D$18</c:f>
              <c:strCache>
                <c:ptCount val="1"/>
                <c:pt idx="0">
                  <c:v>Biomass [kg/a]</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Theoretical!$A$19:$A$29</c:f>
              <c:strCache>
                <c:ptCount val="11"/>
                <c:pt idx="0">
                  <c:v>CO2 | Photoautotroph (aerobic)</c:v>
                </c:pt>
                <c:pt idx="1">
                  <c:v>CO2 | Lithoautotroph (aerobic)</c:v>
                </c:pt>
                <c:pt idx="2">
                  <c:v>CO | Lithoautotroph (anaerobic)</c:v>
                </c:pt>
                <c:pt idx="3">
                  <c:v>CH4 | Methanotroph (aerobic)</c:v>
                </c:pt>
                <c:pt idx="4">
                  <c:v>VFAs | Heterotroph (aerobic)</c:v>
                </c:pt>
                <c:pt idx="5">
                  <c:v>Wet_Organics | Heterotroph (aerobic)</c:v>
                </c:pt>
                <c:pt idx="6">
                  <c:v>Wet_Organics | Mixotroph (aerobic)</c:v>
                </c:pt>
                <c:pt idx="7">
                  <c:v>Wet_Organics | Heterotroph (anaerobic)</c:v>
                </c:pt>
                <c:pt idx="8">
                  <c:v>Cellulose | Enzymatic</c:v>
                </c:pt>
                <c:pt idx="9">
                  <c:v>Polyesters | Biochemical</c:v>
                </c:pt>
                <c:pt idx="10">
                  <c:v>Polyamides | Biochemical</c:v>
                </c:pt>
              </c:strCache>
            </c:strRef>
          </c:cat>
          <c:val>
            <c:numRef>
              <c:f>Theoretical!$D$19:$D$29</c:f>
              <c:numCache>
                <c:formatCode>0</c:formatCode>
                <c:ptCount val="11"/>
                <c:pt idx="0">
                  <c:v>279.298916629688</c:v>
                </c:pt>
                <c:pt idx="1">
                  <c:v>103.175357369697</c:v>
                </c:pt>
                <c:pt idx="2">
                  <c:v>10.5999692943396</c:v>
                </c:pt>
                <c:pt idx="3">
                  <c:v>350.706370199017</c:v>
                </c:pt>
                <c:pt idx="4">
                  <c:v>150.210330491803</c:v>
                </c:pt>
                <c:pt idx="5">
                  <c:v>23.1806065573771</c:v>
                </c:pt>
                <c:pt idx="6">
                  <c:v>8.88589918032787</c:v>
                </c:pt>
                <c:pt idx="7">
                  <c:v>0</c:v>
                </c:pt>
                <c:pt idx="8">
                  <c:v>511.869216666667</c:v>
                </c:pt>
                <c:pt idx="9">
                  <c:v>187.993375</c:v>
                </c:pt>
                <c:pt idx="10">
                  <c:v>67.116875</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Total Biomass [kg/a] (Aggressive)</a:t>
            </a:r>
          </a:p>
        </c:rich>
      </c:tx>
      <c:overlay val="0"/>
      <c:spPr>
        <a:noFill/>
        <a:ln w="0">
          <a:noFill/>
        </a:ln>
      </c:spPr>
    </c:title>
    <c:autoTitleDeleted val="0"/>
    <c:plotArea>
      <c:pieChart>
        <c:varyColors val="1"/>
        <c:ser>
          <c:idx val="0"/>
          <c:order val="0"/>
          <c:tx>
            <c:strRef>
              <c:f>Theoretical!$G$18</c:f>
              <c:strCache>
                <c:ptCount val="1"/>
                <c:pt idx="0">
                  <c:v>Biomass [kg/a]</c:v>
                </c:pt>
              </c:strCache>
            </c:strRef>
          </c:tx>
          <c:spPr>
            <a:solidFill>
              <a:srgbClr val="c0504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Theoretical!$A$19:$A$29</c:f>
              <c:strCache>
                <c:ptCount val="11"/>
                <c:pt idx="0">
                  <c:v>CO2 | Photoautotroph (aerobic)</c:v>
                </c:pt>
                <c:pt idx="1">
                  <c:v>CO2 | Lithoautotroph (aerobic)</c:v>
                </c:pt>
                <c:pt idx="2">
                  <c:v>CO | Lithoautotroph (anaerobic)</c:v>
                </c:pt>
                <c:pt idx="3">
                  <c:v>CH4 | Methanotroph (aerobic)</c:v>
                </c:pt>
                <c:pt idx="4">
                  <c:v>VFAs | Heterotroph (aerobic)</c:v>
                </c:pt>
                <c:pt idx="5">
                  <c:v>Wet_Organics | Heterotroph (aerobic)</c:v>
                </c:pt>
                <c:pt idx="6">
                  <c:v>Wet_Organics | Mixotroph (aerobic)</c:v>
                </c:pt>
                <c:pt idx="7">
                  <c:v>Wet_Organics | Heterotroph (anaerobic)</c:v>
                </c:pt>
                <c:pt idx="8">
                  <c:v>Cellulose | Enzymatic</c:v>
                </c:pt>
                <c:pt idx="9">
                  <c:v>Polyesters | Biochemical</c:v>
                </c:pt>
                <c:pt idx="10">
                  <c:v>Polyamides | Biochemical</c:v>
                </c:pt>
              </c:strCache>
            </c:strRef>
          </c:cat>
          <c:val>
            <c:numRef>
              <c:f>Theoretical!$G$19:$G$29</c:f>
              <c:numCache>
                <c:formatCode>0</c:formatCode>
                <c:ptCount val="11"/>
                <c:pt idx="0">
                  <c:v>12.2757687493423</c:v>
                </c:pt>
                <c:pt idx="1">
                  <c:v>36.8273062480268</c:v>
                </c:pt>
                <c:pt idx="2">
                  <c:v>115.5054808992</c:v>
                </c:pt>
                <c:pt idx="3">
                  <c:v>1514.18043037808</c:v>
                </c:pt>
                <c:pt idx="4">
                  <c:v>125.996464285714</c:v>
                </c:pt>
                <c:pt idx="5">
                  <c:v>44.2092857142857</c:v>
                </c:pt>
                <c:pt idx="6">
                  <c:v>179.047607142857</c:v>
                </c:pt>
                <c:pt idx="7">
                  <c:v>0</c:v>
                </c:pt>
                <c:pt idx="8">
                  <c:v>594.428767741935</c:v>
                </c:pt>
                <c:pt idx="9">
                  <c:v>218.314887096774</c:v>
                </c:pt>
                <c:pt idx="10">
                  <c:v>77.9421774193548</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Theoretical!$A$19</c:f>
              <c:strCache>
                <c:ptCount val="1"/>
                <c:pt idx="0">
                  <c:v>CO2 | Photoautotroph (aerobic)</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Theoretical!$C$19,Theoretical!$F$19</c:f>
              <c:numCache>
                <c:formatCode>0</c:formatCode>
                <c:ptCount val="2"/>
                <c:pt idx="0">
                  <c:v>4664.09149753425</c:v>
                </c:pt>
                <c:pt idx="1">
                  <c:v>25.2477343526628</c:v>
                </c:pt>
              </c:numCache>
            </c:numRef>
          </c:val>
        </c:ser>
        <c:ser>
          <c:idx val="1"/>
          <c:order val="1"/>
          <c:tx>
            <c:strRef>
              <c:f>Theoretical!$A$20</c:f>
              <c:strCache>
                <c:ptCount val="1"/>
                <c:pt idx="0">
                  <c:v>CO2 | Lithoautotroph (aerobic)</c:v>
                </c:pt>
              </c:strCache>
            </c:strRef>
          </c:tx>
          <c:spPr>
            <a:solidFill>
              <a:srgbClr val="c0504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Theoretical!$C$20,Theoretical!$F$20</c:f>
              <c:numCache>
                <c:formatCode>0</c:formatCode>
                <c:ptCount val="2"/>
                <c:pt idx="0">
                  <c:v>878.390040752092</c:v>
                </c:pt>
                <c:pt idx="1">
                  <c:v>24.8907530909946</c:v>
                </c:pt>
              </c:numCache>
            </c:numRef>
          </c:val>
        </c:ser>
        <c:ser>
          <c:idx val="2"/>
          <c:order val="2"/>
          <c:tx>
            <c:strRef>
              <c:f>Theoretical!$A$21</c:f>
              <c:strCache>
                <c:ptCount val="1"/>
                <c:pt idx="0">
                  <c:v>CO | Lithoautotroph (anaerobic)</c:v>
                </c:pt>
              </c:strCache>
            </c:strRef>
          </c:tx>
          <c:spPr>
            <a:solidFill>
              <a:srgbClr val="9bbb59"/>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Theoretical!$C$21,Theoretical!$F$21</c:f>
              <c:numCache>
                <c:formatCode>0</c:formatCode>
                <c:ptCount val="2"/>
                <c:pt idx="0">
                  <c:v>64.8632554775937</c:v>
                </c:pt>
                <c:pt idx="1">
                  <c:v>40.5076589158402</c:v>
                </c:pt>
              </c:numCache>
            </c:numRef>
          </c:val>
        </c:ser>
        <c:ser>
          <c:idx val="3"/>
          <c:order val="3"/>
          <c:tx>
            <c:strRef>
              <c:f>Theoretical!$A$22</c:f>
              <c:strCache>
                <c:ptCount val="1"/>
                <c:pt idx="0">
                  <c:v>CH4 | Methanotroph (aerobic)</c:v>
                </c:pt>
              </c:strCache>
            </c:strRef>
          </c:tx>
          <c:spPr>
            <a:solidFill>
              <a:srgbClr val="8064a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Theoretical!$C$22,Theoretical!$F$22</c:f>
              <c:numCache>
                <c:formatCode>0</c:formatCode>
                <c:ptCount val="2"/>
                <c:pt idx="0">
                  <c:v>726.0318114888</c:v>
                </c:pt>
                <c:pt idx="1">
                  <c:v>513.630664503429</c:v>
                </c:pt>
              </c:numCache>
            </c:numRef>
          </c:val>
        </c:ser>
        <c:ser>
          <c:idx val="4"/>
          <c:order val="4"/>
          <c:tx>
            <c:strRef>
              <c:f>Theoretical!$A$23</c:f>
              <c:strCache>
                <c:ptCount val="1"/>
                <c:pt idx="0">
                  <c:v>VFAs | Heterotroph (aerobic)</c:v>
                </c:pt>
              </c:strCache>
            </c:strRef>
          </c:tx>
          <c:spPr>
            <a:solidFill>
              <a:srgbClr val="4bacc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Theoretical!$C$23,Theoretical!$F$23</c:f>
              <c:numCache>
                <c:formatCode>0</c:formatCode>
                <c:ptCount val="2"/>
                <c:pt idx="0">
                  <c:v>103.65506837853</c:v>
                </c:pt>
                <c:pt idx="1">
                  <c:v>17.09588801382</c:v>
                </c:pt>
              </c:numCache>
            </c:numRef>
          </c:val>
        </c:ser>
        <c:ser>
          <c:idx val="5"/>
          <c:order val="5"/>
          <c:tx>
            <c:strRef>
              <c:f>Theoretical!$A$24</c:f>
              <c:strCache>
                <c:ptCount val="1"/>
                <c:pt idx="0">
                  <c:v>Wet_Organics | Heterotroph (aerobic)</c:v>
                </c:pt>
              </c:strCache>
            </c:strRef>
          </c:tx>
          <c:spPr>
            <a:solidFill>
              <a:srgbClr val="f7964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Theoretical!$C$24,Theoretical!$F$24</c:f>
              <c:numCache>
                <c:formatCode>0</c:formatCode>
                <c:ptCount val="2"/>
                <c:pt idx="0">
                  <c:v>15.9961525275509</c:v>
                </c:pt>
                <c:pt idx="1">
                  <c:v>5.9985571978316</c:v>
                </c:pt>
              </c:numCache>
            </c:numRef>
          </c:val>
        </c:ser>
        <c:ser>
          <c:idx val="6"/>
          <c:order val="6"/>
          <c:tx>
            <c:strRef>
              <c:f>Theoretical!$A$25</c:f>
              <c:strCache>
                <c:ptCount val="1"/>
                <c:pt idx="0">
                  <c:v>Wet_Organics | Mixotroph (aerobic)</c:v>
                </c:pt>
              </c:strCache>
            </c:strRef>
          </c:tx>
          <c:spPr>
            <a:solidFill>
              <a:srgbClr val="2c4d75"/>
            </a:solidFill>
            <a:ln w="0">
              <a:noFill/>
            </a:ln>
          </c:spPr>
          <c:invertIfNegative val="0"/>
          <c:dPt>
            <c:idx val="0"/>
            <c:invertIfNegative val="0"/>
            <c:spPr>
              <a:solidFill>
                <a:srgbClr val="2c4d75"/>
              </a:solidFill>
              <a:ln w="0">
                <a:noFill/>
              </a:ln>
            </c:spPr>
          </c:dPt>
          <c:dLbls>
            <c:dLbl>
              <c:idx val="0"/>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Theoretical!$C$25,Theoretical!$F$25</c:f>
              <c:numCache>
                <c:formatCode>0</c:formatCode>
                <c:ptCount val="2"/>
                <c:pt idx="0">
                  <c:v>5.33205084251698</c:v>
                </c:pt>
                <c:pt idx="1">
                  <c:v>17.9956715934948</c:v>
                </c:pt>
              </c:numCache>
            </c:numRef>
          </c:val>
        </c:ser>
        <c:ser>
          <c:idx val="7"/>
          <c:order val="7"/>
          <c:tx>
            <c:strRef>
              <c:f>Theoretical!$A$27</c:f>
              <c:strCache>
                <c:ptCount val="1"/>
                <c:pt idx="0">
                  <c:v>Cellulose | Enzymatic</c:v>
                </c:pt>
              </c:strCache>
            </c:strRef>
          </c:tx>
          <c:spPr>
            <a:solidFill>
              <a:srgbClr val="5f7530"/>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Theoretical!$C$27,Theoretical!$F$27</c:f>
              <c:numCache>
                <c:formatCode>0</c:formatCode>
                <c:ptCount val="2"/>
                <c:pt idx="0">
                  <c:v>1529.87063511831</c:v>
                </c:pt>
                <c:pt idx="1">
                  <c:v>210.25776608805</c:v>
                </c:pt>
              </c:numCache>
            </c:numRef>
          </c:val>
        </c:ser>
        <c:ser>
          <c:idx val="8"/>
          <c:order val="8"/>
          <c:tx>
            <c:strRef>
              <c:f>Theoretical!$A$28</c:f>
              <c:strCache>
                <c:ptCount val="1"/>
                <c:pt idx="0">
                  <c:v>Polyesters | Biochemical</c:v>
                </c:pt>
              </c:strCache>
            </c:strRef>
          </c:tx>
          <c:spPr>
            <a:solidFill>
              <a:srgbClr val="4d3b6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Theoretical!$C$28,Theoretical!$F$28</c:f>
              <c:numCache>
                <c:formatCode>0</c:formatCode>
                <c:ptCount val="2"/>
                <c:pt idx="0">
                  <c:v>1329.16217410517</c:v>
                </c:pt>
                <c:pt idx="1">
                  <c:v>82.353591619263</c:v>
                </c:pt>
              </c:numCache>
            </c:numRef>
          </c:val>
        </c:ser>
        <c:ser>
          <c:idx val="9"/>
          <c:order val="9"/>
          <c:tx>
            <c:strRef>
              <c:f>Theoretical!$A$29</c:f>
              <c:strCache>
                <c:ptCount val="1"/>
                <c:pt idx="0">
                  <c:v>Polyamides | Biochemical</c:v>
                </c:pt>
              </c:strCache>
            </c:strRef>
          </c:tx>
          <c:spPr>
            <a:solidFill>
              <a:srgbClr val="276a7c"/>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Theoretical!$C$29,Theoretical!$F$29</c:f>
              <c:numCache>
                <c:formatCode>0</c:formatCode>
                <c:ptCount val="2"/>
                <c:pt idx="0">
                  <c:v>2372.66902342024</c:v>
                </c:pt>
                <c:pt idx="1">
                  <c:v>147.00825799077</c:v>
                </c:pt>
              </c:numCache>
            </c:numRef>
          </c:val>
        </c:ser>
        <c:gapWidth val="150"/>
        <c:overlap val="100"/>
        <c:axId val="44931558"/>
        <c:axId val="35325758"/>
      </c:barChart>
      <c:catAx>
        <c:axId val="4493155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1000" spc="-1" strike="noStrike">
                <a:solidFill>
                  <a:srgbClr val="595959"/>
                </a:solidFill>
                <a:latin typeface="Calibri"/>
                <a:ea typeface="Calibri"/>
              </a:defRPr>
            </a:pPr>
          </a:p>
        </c:txPr>
        <c:crossAx val="35325758"/>
        <c:crosses val="autoZero"/>
        <c:auto val="1"/>
        <c:lblAlgn val="ctr"/>
        <c:lblOffset val="100"/>
        <c:noMultiLvlLbl val="0"/>
      </c:catAx>
      <c:valAx>
        <c:axId val="35325758"/>
        <c:scaling>
          <c:orientation val="minMax"/>
        </c:scaling>
        <c:delete val="0"/>
        <c:axPos val="l"/>
        <c:majorGridlines>
          <c:spPr>
            <a:ln w="6480">
              <a:solidFill>
                <a:srgbClr val="d9d9d9"/>
              </a:solidFill>
              <a:round/>
            </a:ln>
          </c:spPr>
        </c:majorGridlines>
        <c:title>
          <c:tx>
            <c:rich>
              <a:bodyPr rot="-5400000"/>
              <a:lstStyle/>
              <a:p>
                <a:pPr>
                  <a:defRPr b="1" lang="en-AU" sz="1000" spc="-1" strike="noStrike">
                    <a:solidFill>
                      <a:srgbClr val="595959"/>
                    </a:solidFill>
                    <a:latin typeface="Calibri"/>
                    <a:ea typeface="Calibri"/>
                  </a:defRPr>
                </a:pPr>
                <a:r>
                  <a:rPr b="1" lang="en-AU" sz="1000" spc="-1" strike="noStrike">
                    <a:solidFill>
                      <a:srgbClr val="595959"/>
                    </a:solidFill>
                    <a:latin typeface="Calibri"/>
                    <a:ea typeface="Calibri"/>
                  </a:rPr>
                  <a:t>Reactor Volume [L]</a:t>
                </a:r>
              </a:p>
            </c:rich>
          </c:tx>
          <c:overlay val="0"/>
          <c:spPr>
            <a:noFill/>
            <a:ln w="0">
              <a:noFill/>
            </a:ln>
          </c:spPr>
        </c:title>
        <c:numFmt formatCode="0" sourceLinked="0"/>
        <c:majorTickMark val="none"/>
        <c:minorTickMark val="none"/>
        <c:tickLblPos val="nextTo"/>
        <c:spPr>
          <a:ln w="9360">
            <a:noFill/>
          </a:ln>
        </c:spPr>
        <c:txPr>
          <a:bodyPr/>
          <a:lstStyle/>
          <a:p>
            <a:pPr>
              <a:defRPr b="0" sz="1000" spc="-1" strike="noStrike">
                <a:solidFill>
                  <a:srgbClr val="595959"/>
                </a:solidFill>
                <a:latin typeface="Calibri"/>
                <a:ea typeface="Calibri"/>
              </a:defRPr>
            </a:pPr>
          </a:p>
        </c:txPr>
        <c:crossAx val="44931558"/>
        <c:crosses val="autoZero"/>
        <c:crossBetween val="between"/>
      </c:valAx>
      <c:spPr>
        <a:noFill/>
        <a:ln w="0">
          <a:noFill/>
        </a:ln>
      </c:spPr>
    </c:plotArea>
    <c:legend>
      <c:legendPos val="b"/>
      <c:overlay val="0"/>
      <c:spPr>
        <a:noFill/>
        <a:ln w="0">
          <a:noFill/>
        </a:ln>
      </c:spPr>
      <c:txPr>
        <a:bodyPr/>
        <a:lstStyle/>
        <a:p>
          <a:pPr>
            <a:defRPr b="0" sz="1000" spc="-1" strike="noStrike">
              <a:solidFill>
                <a:srgbClr val="595959"/>
              </a:solidFill>
              <a:latin typeface="Calibri"/>
              <a:ea typeface="Calibri"/>
            </a:defRPr>
          </a:pPr>
        </a:p>
      </c:txPr>
    </c:legend>
    <c:plotVisOnly val="1"/>
    <c:dispBlanksAs val="gap"/>
  </c:chart>
  <c:spPr>
    <a:no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Theoretical!$A$19</c:f>
              <c:strCache>
                <c:ptCount val="1"/>
                <c:pt idx="0">
                  <c:v>CO2 | Photoautotroph (aerobic)</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Theoretical!$D$19,Theoretical!$G$19</c:f>
              <c:numCache>
                <c:formatCode>0</c:formatCode>
                <c:ptCount val="2"/>
                <c:pt idx="0">
                  <c:v>279.298916629688</c:v>
                </c:pt>
                <c:pt idx="1">
                  <c:v>12.2757687493423</c:v>
                </c:pt>
              </c:numCache>
            </c:numRef>
          </c:val>
        </c:ser>
        <c:ser>
          <c:idx val="1"/>
          <c:order val="1"/>
          <c:tx>
            <c:strRef>
              <c:f>Theoretical!$A$20</c:f>
              <c:strCache>
                <c:ptCount val="1"/>
                <c:pt idx="0">
                  <c:v>CO2 | Lithoautotroph (aerobic)</c:v>
                </c:pt>
              </c:strCache>
            </c:strRef>
          </c:tx>
          <c:spPr>
            <a:solidFill>
              <a:srgbClr val="c0504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Theoretical!$D$20,Theoretical!$G$20</c:f>
              <c:numCache>
                <c:formatCode>0</c:formatCode>
                <c:ptCount val="2"/>
                <c:pt idx="0">
                  <c:v>103.175357369697</c:v>
                </c:pt>
                <c:pt idx="1">
                  <c:v>36.8273062480268</c:v>
                </c:pt>
              </c:numCache>
            </c:numRef>
          </c:val>
        </c:ser>
        <c:ser>
          <c:idx val="2"/>
          <c:order val="2"/>
          <c:tx>
            <c:strRef>
              <c:f>Theoretical!$A$21</c:f>
              <c:strCache>
                <c:ptCount val="1"/>
                <c:pt idx="0">
                  <c:v>CO | Lithoautotroph (anaerobic)</c:v>
                </c:pt>
              </c:strCache>
            </c:strRef>
          </c:tx>
          <c:spPr>
            <a:solidFill>
              <a:srgbClr val="9bbb59"/>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Theoretical!$D$21,Theoretical!$G$21</c:f>
              <c:numCache>
                <c:formatCode>0</c:formatCode>
                <c:ptCount val="2"/>
                <c:pt idx="0">
                  <c:v>10.5999692943396</c:v>
                </c:pt>
                <c:pt idx="1">
                  <c:v>115.5054808992</c:v>
                </c:pt>
              </c:numCache>
            </c:numRef>
          </c:val>
        </c:ser>
        <c:ser>
          <c:idx val="3"/>
          <c:order val="3"/>
          <c:tx>
            <c:strRef>
              <c:f>Theoretical!$A$22</c:f>
              <c:strCache>
                <c:ptCount val="1"/>
                <c:pt idx="0">
                  <c:v>CH4 | Methanotroph (aerobic)</c:v>
                </c:pt>
              </c:strCache>
            </c:strRef>
          </c:tx>
          <c:spPr>
            <a:solidFill>
              <a:srgbClr val="8064a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Theoretical!$D$22,Theoretical!$G$22</c:f>
              <c:numCache>
                <c:formatCode>0</c:formatCode>
                <c:ptCount val="2"/>
                <c:pt idx="0">
                  <c:v>350.706370199017</c:v>
                </c:pt>
                <c:pt idx="1">
                  <c:v>1514.18043037808</c:v>
                </c:pt>
              </c:numCache>
            </c:numRef>
          </c:val>
        </c:ser>
        <c:ser>
          <c:idx val="4"/>
          <c:order val="4"/>
          <c:tx>
            <c:strRef>
              <c:f>Theoretical!$A$23</c:f>
              <c:strCache>
                <c:ptCount val="1"/>
                <c:pt idx="0">
                  <c:v>VFAs | Heterotroph (aerobic)</c:v>
                </c:pt>
              </c:strCache>
            </c:strRef>
          </c:tx>
          <c:spPr>
            <a:solidFill>
              <a:srgbClr val="4bacc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Theoretical!$D$23,Theoretical!$G$23</c:f>
              <c:numCache>
                <c:formatCode>0</c:formatCode>
                <c:ptCount val="2"/>
                <c:pt idx="0">
                  <c:v>150.210330491803</c:v>
                </c:pt>
                <c:pt idx="1">
                  <c:v>125.996464285714</c:v>
                </c:pt>
              </c:numCache>
            </c:numRef>
          </c:val>
        </c:ser>
        <c:ser>
          <c:idx val="5"/>
          <c:order val="5"/>
          <c:tx>
            <c:strRef>
              <c:f>Theoretical!$A$24</c:f>
              <c:strCache>
                <c:ptCount val="1"/>
                <c:pt idx="0">
                  <c:v>Wet_Organics | Heterotroph (aerobic)</c:v>
                </c:pt>
              </c:strCache>
            </c:strRef>
          </c:tx>
          <c:spPr>
            <a:solidFill>
              <a:srgbClr val="f7964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Theoretical!$D$24,Theoretical!$G$24</c:f>
              <c:numCache>
                <c:formatCode>0</c:formatCode>
                <c:ptCount val="2"/>
                <c:pt idx="0">
                  <c:v>23.1806065573771</c:v>
                </c:pt>
                <c:pt idx="1">
                  <c:v>44.2092857142857</c:v>
                </c:pt>
              </c:numCache>
            </c:numRef>
          </c:val>
        </c:ser>
        <c:ser>
          <c:idx val="6"/>
          <c:order val="6"/>
          <c:tx>
            <c:strRef>
              <c:f>Theoretical!$A$25</c:f>
              <c:strCache>
                <c:ptCount val="1"/>
                <c:pt idx="0">
                  <c:v>Wet_Organics | Mixotroph (aerobic)</c:v>
                </c:pt>
              </c:strCache>
            </c:strRef>
          </c:tx>
          <c:spPr>
            <a:solidFill>
              <a:srgbClr val="2c4d75"/>
            </a:solidFill>
            <a:ln w="0">
              <a:noFill/>
            </a:ln>
          </c:spPr>
          <c:invertIfNegative val="0"/>
          <c:dPt>
            <c:idx val="0"/>
            <c:invertIfNegative val="0"/>
            <c:spPr>
              <a:solidFill>
                <a:srgbClr val="2c4d75"/>
              </a:solidFill>
              <a:ln w="0">
                <a:noFill/>
              </a:ln>
            </c:spPr>
          </c:dPt>
          <c:dLbls>
            <c:dLbl>
              <c:idx val="0"/>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Theoretical!$D$25,Theoretical!$G$25</c:f>
              <c:numCache>
                <c:formatCode>0</c:formatCode>
                <c:ptCount val="2"/>
                <c:pt idx="0">
                  <c:v>8.88589918032787</c:v>
                </c:pt>
                <c:pt idx="1">
                  <c:v>179.047607142857</c:v>
                </c:pt>
              </c:numCache>
            </c:numRef>
          </c:val>
        </c:ser>
        <c:ser>
          <c:idx val="7"/>
          <c:order val="7"/>
          <c:tx>
            <c:strRef>
              <c:f>Theoretical!$A$27</c:f>
              <c:strCache>
                <c:ptCount val="1"/>
                <c:pt idx="0">
                  <c:v>Cellulose | Enzymatic</c:v>
                </c:pt>
              </c:strCache>
            </c:strRef>
          </c:tx>
          <c:spPr>
            <a:solidFill>
              <a:srgbClr val="5f7530"/>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Theoretical!$D$27,Theoretical!$G$27</c:f>
              <c:numCache>
                <c:formatCode>0</c:formatCode>
                <c:ptCount val="2"/>
                <c:pt idx="0">
                  <c:v>511.869216666667</c:v>
                </c:pt>
                <c:pt idx="1">
                  <c:v>594.428767741935</c:v>
                </c:pt>
              </c:numCache>
            </c:numRef>
          </c:val>
        </c:ser>
        <c:ser>
          <c:idx val="8"/>
          <c:order val="8"/>
          <c:tx>
            <c:strRef>
              <c:f>Theoretical!$A$28</c:f>
              <c:strCache>
                <c:ptCount val="1"/>
                <c:pt idx="0">
                  <c:v>Polyesters | Biochemical</c:v>
                </c:pt>
              </c:strCache>
            </c:strRef>
          </c:tx>
          <c:spPr>
            <a:solidFill>
              <a:srgbClr val="4d3b6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Theoretical!$D$28,Theoretical!$G$28</c:f>
              <c:numCache>
                <c:formatCode>0</c:formatCode>
                <c:ptCount val="2"/>
                <c:pt idx="0">
                  <c:v>187.993375</c:v>
                </c:pt>
                <c:pt idx="1">
                  <c:v>218.314887096774</c:v>
                </c:pt>
              </c:numCache>
            </c:numRef>
          </c:val>
        </c:ser>
        <c:ser>
          <c:idx val="9"/>
          <c:order val="9"/>
          <c:tx>
            <c:strRef>
              <c:f>Theoretical!$A$29</c:f>
              <c:strCache>
                <c:ptCount val="1"/>
                <c:pt idx="0">
                  <c:v>Polyamides | Biochemical</c:v>
                </c:pt>
              </c:strCache>
            </c:strRef>
          </c:tx>
          <c:spPr>
            <a:solidFill>
              <a:srgbClr val="276a7c"/>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Theoretical!$B$17,Theoretical!$E$17</c:f>
              <c:strCache>
                <c:ptCount val="2"/>
                <c:pt idx="0">
                  <c:v>Baseline</c:v>
                </c:pt>
                <c:pt idx="1">
                  <c:v>Aspirational</c:v>
                </c:pt>
              </c:strCache>
            </c:strRef>
          </c:cat>
          <c:val>
            <c:numRef>
              <c:f>Theoretical!$D$29,Theoretical!$G$29</c:f>
              <c:numCache>
                <c:formatCode>0</c:formatCode>
                <c:ptCount val="2"/>
                <c:pt idx="0">
                  <c:v>67.116875</c:v>
                </c:pt>
                <c:pt idx="1">
                  <c:v>77.9421774193548</c:v>
                </c:pt>
              </c:numCache>
            </c:numRef>
          </c:val>
        </c:ser>
        <c:gapWidth val="150"/>
        <c:overlap val="100"/>
        <c:axId val="43929614"/>
        <c:axId val="21639323"/>
      </c:barChart>
      <c:catAx>
        <c:axId val="4392961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1000" spc="-1" strike="noStrike">
                <a:solidFill>
                  <a:srgbClr val="595959"/>
                </a:solidFill>
                <a:latin typeface="Calibri"/>
                <a:ea typeface="Calibri"/>
              </a:defRPr>
            </a:pPr>
          </a:p>
        </c:txPr>
        <c:crossAx val="21639323"/>
        <c:crosses val="autoZero"/>
        <c:auto val="1"/>
        <c:lblAlgn val="ctr"/>
        <c:lblOffset val="100"/>
        <c:noMultiLvlLbl val="0"/>
      </c:catAx>
      <c:valAx>
        <c:axId val="21639323"/>
        <c:scaling>
          <c:orientation val="minMax"/>
        </c:scaling>
        <c:delete val="0"/>
        <c:axPos val="l"/>
        <c:majorGridlines>
          <c:spPr>
            <a:ln w="6480">
              <a:solidFill>
                <a:srgbClr val="d9d9d9"/>
              </a:solidFill>
              <a:round/>
            </a:ln>
          </c:spPr>
        </c:majorGridlines>
        <c:title>
          <c:tx>
            <c:rich>
              <a:bodyPr rot="-5400000"/>
              <a:lstStyle/>
              <a:p>
                <a:pPr>
                  <a:defRPr b="1" lang="en-AU" sz="1000" spc="-1" strike="noStrike">
                    <a:solidFill>
                      <a:srgbClr val="595959"/>
                    </a:solidFill>
                    <a:latin typeface="Calibri"/>
                    <a:ea typeface="Calibri"/>
                  </a:defRPr>
                </a:pPr>
                <a:r>
                  <a:rPr b="1" lang="en-AU" sz="1000" spc="-1" strike="noStrike">
                    <a:solidFill>
                      <a:srgbClr val="595959"/>
                    </a:solidFill>
                    <a:latin typeface="Calibri"/>
                    <a:ea typeface="Calibri"/>
                  </a:rPr>
                  <a:t>Biomass [kg/a]</a:t>
                </a:r>
              </a:p>
            </c:rich>
          </c:tx>
          <c:overlay val="0"/>
          <c:spPr>
            <a:noFill/>
            <a:ln w="0">
              <a:noFill/>
            </a:ln>
          </c:spPr>
        </c:title>
        <c:numFmt formatCode="0" sourceLinked="0"/>
        <c:majorTickMark val="none"/>
        <c:minorTickMark val="none"/>
        <c:tickLblPos val="nextTo"/>
        <c:spPr>
          <a:ln w="9360">
            <a:noFill/>
          </a:ln>
        </c:spPr>
        <c:txPr>
          <a:bodyPr/>
          <a:lstStyle/>
          <a:p>
            <a:pPr>
              <a:defRPr b="0" sz="1000" spc="-1" strike="noStrike">
                <a:solidFill>
                  <a:srgbClr val="595959"/>
                </a:solidFill>
                <a:latin typeface="Calibri"/>
                <a:ea typeface="Calibri"/>
              </a:defRPr>
            </a:pPr>
          </a:p>
        </c:txPr>
        <c:crossAx val="43929614"/>
        <c:crosses val="autoZero"/>
        <c:crossBetween val="between"/>
      </c:valAx>
      <c:spPr>
        <a:noFill/>
        <a:ln w="0">
          <a:noFill/>
        </a:ln>
      </c:spPr>
    </c:plotArea>
    <c:legend>
      <c:legendPos val="b"/>
      <c:overlay val="0"/>
      <c:spPr>
        <a:noFill/>
        <a:ln w="0">
          <a:noFill/>
        </a:ln>
      </c:spPr>
      <c:txPr>
        <a:bodyPr/>
        <a:lstStyle/>
        <a:p>
          <a:pPr>
            <a:defRPr b="0" sz="1000" spc="-1" strike="noStrike">
              <a:solidFill>
                <a:srgbClr val="595959"/>
              </a:solidFill>
              <a:latin typeface="Calibri"/>
              <a:ea typeface="Calibri"/>
            </a:defRPr>
          </a:pPr>
        </a:p>
      </c:txPr>
    </c:legend>
    <c:plotVisOnly val="1"/>
    <c:dispBlanksAs val="gap"/>
  </c:chart>
  <c:spPr>
    <a:no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Reactor Volumes [L] (Conservative)</a:t>
            </a:r>
          </a:p>
        </c:rich>
      </c:tx>
      <c:overlay val="0"/>
      <c:spPr>
        <a:noFill/>
        <a:ln w="0">
          <a:noFill/>
        </a:ln>
      </c:spPr>
    </c:title>
    <c:autoTitleDeleted val="0"/>
    <c:plotArea>
      <c:pieChart>
        <c:varyColors val="1"/>
        <c:ser>
          <c:idx val="0"/>
          <c:order val="0"/>
          <c:tx>
            <c:strRef>
              <c:f>Empirical!$C$18</c:f>
              <c:strCache>
                <c:ptCount val="1"/>
                <c:pt idx="0">
                  <c:v>Reactor Volume [L]</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Empirical!$A$19:$A$29</c:f>
              <c:strCache>
                <c:ptCount val="11"/>
                <c:pt idx="0">
                  <c:v>CO2 | Photoautotroph (aerobic)</c:v>
                </c:pt>
                <c:pt idx="1">
                  <c:v>CO2 | Lithoautotroph (aerobic)</c:v>
                </c:pt>
                <c:pt idx="2">
                  <c:v>CO | Lithoautotroph (anaerobic)</c:v>
                </c:pt>
                <c:pt idx="3">
                  <c:v>CH4 | Methanotroph (aerobic)</c:v>
                </c:pt>
                <c:pt idx="4">
                  <c:v>VFAs | Heterotroph (aerobic)</c:v>
                </c:pt>
                <c:pt idx="5">
                  <c:v>Wet_Organics | Heterotroph (aerobic)</c:v>
                </c:pt>
                <c:pt idx="6">
                  <c:v/>
                </c:pt>
                <c:pt idx="7">
                  <c:v>Wet_Organics | Heterotroph (anaerobic)</c:v>
                </c:pt>
                <c:pt idx="8">
                  <c:v>Cellulose | Enzymatic</c:v>
                </c:pt>
                <c:pt idx="9">
                  <c:v>Polyesters | Biochemical</c:v>
                </c:pt>
                <c:pt idx="10">
                  <c:v>Polyamides | Biochemical</c:v>
                </c:pt>
              </c:strCache>
            </c:strRef>
          </c:cat>
          <c:val>
            <c:numRef>
              <c:f>Empirical!$C$19:$C$29</c:f>
              <c:numCache>
                <c:formatCode>0</c:formatCode>
                <c:ptCount val="11"/>
                <c:pt idx="0">
                  <c:v>1890.84790440578</c:v>
                </c:pt>
                <c:pt idx="1">
                  <c:v>50.6966467123288</c:v>
                </c:pt>
                <c:pt idx="2">
                  <c:v>6.98631999347129</c:v>
                </c:pt>
                <c:pt idx="3">
                  <c:v>2743.08317228676</c:v>
                </c:pt>
                <c:pt idx="4">
                  <c:v>391.163673247649</c:v>
                </c:pt>
                <c:pt idx="7">
                  <c:v>347.835616438356</c:v>
                </c:pt>
                <c:pt idx="8">
                  <c:v>2345.80164051474</c:v>
                </c:pt>
                <c:pt idx="9">
                  <c:v>3466.43596203522</c:v>
                </c:pt>
                <c:pt idx="10">
                  <c:v>14342.7842465753</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Reactor Volumes [L] (Aggressive)</a:t>
            </a:r>
          </a:p>
        </c:rich>
      </c:tx>
      <c:overlay val="0"/>
      <c:spPr>
        <a:noFill/>
        <a:ln w="0">
          <a:noFill/>
        </a:ln>
      </c:spPr>
    </c:title>
    <c:autoTitleDeleted val="0"/>
    <c:plotArea>
      <c:pieChart>
        <c:varyColors val="1"/>
        <c:ser>
          <c:idx val="0"/>
          <c:order val="0"/>
          <c:tx>
            <c:strRef>
              <c:f>Empirical!$F$18</c:f>
              <c:strCache>
                <c:ptCount val="1"/>
                <c:pt idx="0">
                  <c:v>Reactor Vol [L]</c:v>
                </c:pt>
              </c:strCache>
            </c:strRef>
          </c:tx>
          <c:spPr>
            <a:solidFill>
              <a:srgbClr val="c0504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Empirical!$A$19:$A$29</c:f>
              <c:strCache>
                <c:ptCount val="11"/>
                <c:pt idx="0">
                  <c:v>CO2 | Photoautotroph (aerobic)</c:v>
                </c:pt>
                <c:pt idx="1">
                  <c:v>CO2 | Lithoautotroph (aerobic)</c:v>
                </c:pt>
                <c:pt idx="2">
                  <c:v>CO | Lithoautotroph (anaerobic)</c:v>
                </c:pt>
                <c:pt idx="3">
                  <c:v>CH4 | Methanotroph (aerobic)</c:v>
                </c:pt>
                <c:pt idx="4">
                  <c:v>VFAs | Heterotroph (aerobic)</c:v>
                </c:pt>
                <c:pt idx="5">
                  <c:v>Wet_Organics | Heterotroph (aerobic)</c:v>
                </c:pt>
                <c:pt idx="6">
                  <c:v/>
                </c:pt>
                <c:pt idx="7">
                  <c:v>Wet_Organics | Heterotroph (anaerobic)</c:v>
                </c:pt>
                <c:pt idx="8">
                  <c:v>Cellulose | Enzymatic</c:v>
                </c:pt>
                <c:pt idx="9">
                  <c:v>Polyesters | Biochemical</c:v>
                </c:pt>
                <c:pt idx="10">
                  <c:v>Polyamides | Biochemical</c:v>
                </c:pt>
              </c:strCache>
            </c:strRef>
          </c:cat>
          <c:val>
            <c:numRef>
              <c:f>Empirical!$F$19:$F$29</c:f>
              <c:numCache>
                <c:formatCode>0</c:formatCode>
                <c:ptCount val="11"/>
                <c:pt idx="0">
                  <c:v>15.9399955459168</c:v>
                </c:pt>
                <c:pt idx="1">
                  <c:v>1.84393588826121</c:v>
                </c:pt>
                <c:pt idx="2">
                  <c:v>204.201987425828</c:v>
                </c:pt>
                <c:pt idx="3">
                  <c:v>744.749452613466</c:v>
                </c:pt>
                <c:pt idx="4">
                  <c:v>43.4496275388939</c:v>
                </c:pt>
                <c:pt idx="7">
                  <c:v>52.1753424657534</c:v>
                </c:pt>
                <c:pt idx="8">
                  <c:v>344.985828219178</c:v>
                </c:pt>
                <c:pt idx="9">
                  <c:v>3807.95513860936</c:v>
                </c:pt>
                <c:pt idx="10">
                  <c:v>203.464072229141</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Empirical!$A$19</c:f>
              <c:strCache>
                <c:ptCount val="1"/>
                <c:pt idx="0">
                  <c:v>CO2 | Photoautotroph (aerobic)</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Empirical!$C$19,Empirical!$F$19</c:f>
              <c:numCache>
                <c:formatCode>0</c:formatCode>
                <c:ptCount val="2"/>
                <c:pt idx="0">
                  <c:v>1890.84790440578</c:v>
                </c:pt>
                <c:pt idx="1">
                  <c:v>15.9399955459168</c:v>
                </c:pt>
              </c:numCache>
            </c:numRef>
          </c:val>
        </c:ser>
        <c:ser>
          <c:idx val="1"/>
          <c:order val="1"/>
          <c:tx>
            <c:strRef>
              <c:f>Empirical!$A$20</c:f>
              <c:strCache>
                <c:ptCount val="1"/>
                <c:pt idx="0">
                  <c:v>CO2 | Lithoautotroph (aerobic)</c:v>
                </c:pt>
              </c:strCache>
            </c:strRef>
          </c:tx>
          <c:spPr>
            <a:solidFill>
              <a:srgbClr val="c0504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Empirical!$C$20,Empirical!$F$20</c:f>
              <c:numCache>
                <c:formatCode>0</c:formatCode>
                <c:ptCount val="2"/>
                <c:pt idx="0">
                  <c:v>50.6966467123288</c:v>
                </c:pt>
                <c:pt idx="1">
                  <c:v>1.84393588826121</c:v>
                </c:pt>
              </c:numCache>
            </c:numRef>
          </c:val>
        </c:ser>
        <c:ser>
          <c:idx val="2"/>
          <c:order val="2"/>
          <c:tx>
            <c:strRef>
              <c:f>Empirical!$A$21</c:f>
              <c:strCache>
                <c:ptCount val="1"/>
                <c:pt idx="0">
                  <c:v>CO | Lithoautotroph (anaerobic)</c:v>
                </c:pt>
              </c:strCache>
            </c:strRef>
          </c:tx>
          <c:spPr>
            <a:solidFill>
              <a:srgbClr val="9bbb59"/>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Empirical!$C$21,Empirical!$F$21</c:f>
              <c:numCache>
                <c:formatCode>0</c:formatCode>
                <c:ptCount val="2"/>
                <c:pt idx="0">
                  <c:v>6.98631999347129</c:v>
                </c:pt>
                <c:pt idx="1">
                  <c:v>204.201987425828</c:v>
                </c:pt>
              </c:numCache>
            </c:numRef>
          </c:val>
        </c:ser>
        <c:ser>
          <c:idx val="3"/>
          <c:order val="3"/>
          <c:tx>
            <c:strRef>
              <c:f>Empirical!$A$22</c:f>
              <c:strCache>
                <c:ptCount val="1"/>
                <c:pt idx="0">
                  <c:v>CH4 | Methanotroph (aerobic)</c:v>
                </c:pt>
              </c:strCache>
            </c:strRef>
          </c:tx>
          <c:spPr>
            <a:solidFill>
              <a:srgbClr val="8064a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Empirical!$C$22,Empirical!$F$22</c:f>
              <c:numCache>
                <c:formatCode>0</c:formatCode>
                <c:ptCount val="2"/>
                <c:pt idx="0">
                  <c:v>2743.08317228676</c:v>
                </c:pt>
                <c:pt idx="1">
                  <c:v>744.749452613466</c:v>
                </c:pt>
              </c:numCache>
            </c:numRef>
          </c:val>
        </c:ser>
        <c:ser>
          <c:idx val="4"/>
          <c:order val="4"/>
          <c:tx>
            <c:strRef>
              <c:f>Empirical!$A$23</c:f>
              <c:strCache>
                <c:ptCount val="1"/>
                <c:pt idx="0">
                  <c:v>VFAs | Heterotroph (aerobic)</c:v>
                </c:pt>
              </c:strCache>
            </c:strRef>
          </c:tx>
          <c:spPr>
            <a:solidFill>
              <a:srgbClr val="4bacc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Empirical!$C$23,Empirical!$F$23</c:f>
              <c:numCache>
                <c:formatCode>0</c:formatCode>
                <c:ptCount val="2"/>
                <c:pt idx="0">
                  <c:v>391.163673247649</c:v>
                </c:pt>
                <c:pt idx="1">
                  <c:v>43.4496275388939</c:v>
                </c:pt>
              </c:numCache>
            </c:numRef>
          </c:val>
        </c:ser>
        <c:ser>
          <c:idx val="5"/>
          <c:order val="5"/>
          <c:tx>
            <c:strRef>
              <c:f>Empirical!$A$24</c:f>
              <c:strCache>
                <c:ptCount val="1"/>
                <c:pt idx="0">
                  <c:v>Wet_Organics | Heterotroph (aerobic)</c:v>
                </c:pt>
              </c:strCache>
            </c:strRef>
          </c:tx>
          <c:spPr>
            <a:solidFill>
              <a:srgbClr val="f7964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Empirical!$C$24,Empirical!$F$24</c:f>
              <c:numCache>
                <c:formatCode>0</c:formatCode>
                <c:ptCount val="2"/>
              </c:numCache>
            </c:numRef>
          </c:val>
        </c:ser>
        <c:ser>
          <c:idx val="6"/>
          <c:order val="6"/>
          <c:tx>
            <c:strRef>
              <c:f>Empirical!$A$27</c:f>
              <c:strCache>
                <c:ptCount val="1"/>
                <c:pt idx="0">
                  <c:v>Cellulose | Enzymatic</c:v>
                </c:pt>
              </c:strCache>
            </c:strRef>
          </c:tx>
          <c:spPr>
            <a:solidFill>
              <a:srgbClr val="5f7530"/>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Empirical!$C$27,Empirical!$F$27</c:f>
              <c:numCache>
                <c:formatCode>0</c:formatCode>
                <c:ptCount val="2"/>
                <c:pt idx="0">
                  <c:v>2345.80164051474</c:v>
                </c:pt>
                <c:pt idx="1">
                  <c:v>344.985828219178</c:v>
                </c:pt>
              </c:numCache>
            </c:numRef>
          </c:val>
        </c:ser>
        <c:ser>
          <c:idx val="7"/>
          <c:order val="7"/>
          <c:tx>
            <c:strRef>
              <c:f>Empirical!$A$28</c:f>
              <c:strCache>
                <c:ptCount val="1"/>
                <c:pt idx="0">
                  <c:v>Polyesters | Biochemical</c:v>
                </c:pt>
              </c:strCache>
            </c:strRef>
          </c:tx>
          <c:spPr>
            <a:solidFill>
              <a:srgbClr val="4d3b6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Empirical!$C$28,Empirical!$F$28</c:f>
              <c:numCache>
                <c:formatCode>0</c:formatCode>
                <c:ptCount val="2"/>
                <c:pt idx="0">
                  <c:v>3466.43596203522</c:v>
                </c:pt>
                <c:pt idx="1">
                  <c:v>3807.95513860936</c:v>
                </c:pt>
              </c:numCache>
            </c:numRef>
          </c:val>
        </c:ser>
        <c:ser>
          <c:idx val="8"/>
          <c:order val="8"/>
          <c:tx>
            <c:strRef>
              <c:f>Empirical!$A$29</c:f>
              <c:strCache>
                <c:ptCount val="1"/>
                <c:pt idx="0">
                  <c:v>Polyamides | Biochemical</c:v>
                </c:pt>
              </c:strCache>
            </c:strRef>
          </c:tx>
          <c:spPr>
            <a:solidFill>
              <a:srgbClr val="276a7c"/>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Empirical!$C$29,Empirical!$F$29</c:f>
              <c:numCache>
                <c:formatCode>0</c:formatCode>
                <c:ptCount val="2"/>
                <c:pt idx="0">
                  <c:v>14342.7842465753</c:v>
                </c:pt>
                <c:pt idx="1">
                  <c:v>203.464072229141</c:v>
                </c:pt>
              </c:numCache>
            </c:numRef>
          </c:val>
        </c:ser>
        <c:gapWidth val="150"/>
        <c:overlap val="100"/>
        <c:axId val="19534504"/>
        <c:axId val="33507059"/>
      </c:barChart>
      <c:catAx>
        <c:axId val="1953450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1000" spc="-1" strike="noStrike">
                <a:solidFill>
                  <a:srgbClr val="595959"/>
                </a:solidFill>
                <a:latin typeface="Calibri"/>
                <a:ea typeface="Calibri"/>
              </a:defRPr>
            </a:pPr>
          </a:p>
        </c:txPr>
        <c:crossAx val="33507059"/>
        <c:crosses val="autoZero"/>
        <c:auto val="1"/>
        <c:lblAlgn val="ctr"/>
        <c:lblOffset val="100"/>
        <c:noMultiLvlLbl val="0"/>
      </c:catAx>
      <c:valAx>
        <c:axId val="33507059"/>
        <c:scaling>
          <c:orientation val="minMax"/>
        </c:scaling>
        <c:delete val="0"/>
        <c:axPos val="l"/>
        <c:majorGridlines>
          <c:spPr>
            <a:ln w="6480">
              <a:solidFill>
                <a:srgbClr val="d9d9d9"/>
              </a:solidFill>
              <a:round/>
            </a:ln>
          </c:spPr>
        </c:majorGridlines>
        <c:title>
          <c:tx>
            <c:rich>
              <a:bodyPr rot="-5400000"/>
              <a:lstStyle/>
              <a:p>
                <a:pPr>
                  <a:defRPr b="1" lang="en-AU" sz="1000" spc="-1" strike="noStrike">
                    <a:solidFill>
                      <a:srgbClr val="595959"/>
                    </a:solidFill>
                    <a:latin typeface="Calibri"/>
                    <a:ea typeface="Calibri"/>
                  </a:defRPr>
                </a:pPr>
                <a:r>
                  <a:rPr b="1" lang="en-AU" sz="1000" spc="-1" strike="noStrike">
                    <a:solidFill>
                      <a:srgbClr val="595959"/>
                    </a:solidFill>
                    <a:latin typeface="Calibri"/>
                    <a:ea typeface="Calibri"/>
                  </a:rPr>
                  <a:t>Reactor Volume [L]</a:t>
                </a:r>
              </a:p>
            </c:rich>
          </c:tx>
          <c:overlay val="0"/>
          <c:spPr>
            <a:noFill/>
            <a:ln w="0">
              <a:noFill/>
            </a:ln>
          </c:spPr>
        </c:title>
        <c:numFmt formatCode="0" sourceLinked="0"/>
        <c:majorTickMark val="none"/>
        <c:minorTickMark val="none"/>
        <c:tickLblPos val="nextTo"/>
        <c:spPr>
          <a:ln w="9360">
            <a:noFill/>
          </a:ln>
        </c:spPr>
        <c:txPr>
          <a:bodyPr/>
          <a:lstStyle/>
          <a:p>
            <a:pPr>
              <a:defRPr b="0" sz="1000" spc="-1" strike="noStrike">
                <a:solidFill>
                  <a:srgbClr val="595959"/>
                </a:solidFill>
                <a:latin typeface="Calibri"/>
                <a:ea typeface="Calibri"/>
              </a:defRPr>
            </a:pPr>
          </a:p>
        </c:txPr>
        <c:crossAx val="19534504"/>
        <c:crosses val="autoZero"/>
        <c:crossBetween val="between"/>
      </c:valAx>
      <c:spPr>
        <a:noFill/>
        <a:ln w="0">
          <a:noFill/>
        </a:ln>
      </c:spPr>
    </c:plotArea>
    <c:legend>
      <c:legendPos val="b"/>
      <c:overlay val="0"/>
      <c:spPr>
        <a:noFill/>
        <a:ln w="0">
          <a:noFill/>
        </a:ln>
      </c:spPr>
      <c:txPr>
        <a:bodyPr/>
        <a:lstStyle/>
        <a:p>
          <a:pPr>
            <a:defRPr b="0" sz="1000" spc="-1" strike="noStrike">
              <a:solidFill>
                <a:srgbClr val="595959"/>
              </a:solidFill>
              <a:latin typeface="Calibri"/>
              <a:ea typeface="Calibri"/>
            </a:defRPr>
          </a:pPr>
        </a:p>
      </c:txPr>
    </c:legend>
    <c:plotVisOnly val="1"/>
    <c:dispBlanksAs val="gap"/>
  </c:chart>
  <c:spPr>
    <a:noFill/>
    <a:ln w="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Empirical!$A$19</c:f>
              <c:strCache>
                <c:ptCount val="1"/>
                <c:pt idx="0">
                  <c:v>CO2 | Photoautotroph (aerobic)</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Empirical!$D$19,Empirical!$G$19</c:f>
              <c:numCache>
                <c:formatCode>0</c:formatCode>
                <c:ptCount val="2"/>
                <c:pt idx="0">
                  <c:v>255.35900949</c:v>
                </c:pt>
                <c:pt idx="1">
                  <c:v>12.2761875696878</c:v>
                </c:pt>
              </c:numCache>
            </c:numRef>
          </c:val>
        </c:ser>
        <c:ser>
          <c:idx val="1"/>
          <c:order val="1"/>
          <c:tx>
            <c:strRef>
              <c:f>Empirical!$A$20</c:f>
              <c:strCache>
                <c:ptCount val="1"/>
                <c:pt idx="0">
                  <c:v>CO2 | Lithoautotroph (aerobic)</c:v>
                </c:pt>
              </c:strCache>
            </c:strRef>
          </c:tx>
          <c:spPr>
            <a:solidFill>
              <a:srgbClr val="c0504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Empirical!$D$20,Empirical!$G$20</c:f>
              <c:numCache>
                <c:formatCode>0</c:formatCode>
                <c:ptCount val="2"/>
                <c:pt idx="0">
                  <c:v>85.11966983</c:v>
                </c:pt>
                <c:pt idx="1">
                  <c:v>36.8285627090635</c:v>
                </c:pt>
              </c:numCache>
            </c:numRef>
          </c:val>
        </c:ser>
        <c:ser>
          <c:idx val="2"/>
          <c:order val="2"/>
          <c:tx>
            <c:strRef>
              <c:f>Empirical!$A$21</c:f>
              <c:strCache>
                <c:ptCount val="1"/>
                <c:pt idx="0">
                  <c:v>CO | Lithoautotroph (anaerobic)</c:v>
                </c:pt>
              </c:strCache>
            </c:strRef>
          </c:tx>
          <c:spPr>
            <a:solidFill>
              <a:srgbClr val="9bbb59"/>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Empirical!$D$21,Empirical!$G$21</c:f>
              <c:numCache>
                <c:formatCode>0</c:formatCode>
                <c:ptCount val="2"/>
                <c:pt idx="0">
                  <c:v>1.19850319488</c:v>
                </c:pt>
                <c:pt idx="1">
                  <c:v>118.508623402579</c:v>
                </c:pt>
              </c:numCache>
            </c:numRef>
          </c:val>
        </c:ser>
        <c:ser>
          <c:idx val="3"/>
          <c:order val="3"/>
          <c:tx>
            <c:strRef>
              <c:f>Empirical!$A$22</c:f>
              <c:strCache>
                <c:ptCount val="1"/>
                <c:pt idx="0">
                  <c:v>CH4 | Methanotroph (aerobic)</c:v>
                </c:pt>
              </c:strCache>
            </c:strRef>
          </c:tx>
          <c:spPr>
            <a:solidFill>
              <a:srgbClr val="8064a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Empirical!$D$22,Empirical!$G$22</c:f>
              <c:numCache>
                <c:formatCode>0</c:formatCode>
                <c:ptCount val="2"/>
                <c:pt idx="0">
                  <c:v>540.66169325772</c:v>
                </c:pt>
                <c:pt idx="1">
                  <c:v>1514.11287463581</c:v>
                </c:pt>
              </c:numCache>
            </c:numRef>
          </c:val>
        </c:ser>
        <c:ser>
          <c:idx val="4"/>
          <c:order val="4"/>
          <c:tx>
            <c:strRef>
              <c:f>Empirical!$A$23</c:f>
              <c:strCache>
                <c:ptCount val="1"/>
                <c:pt idx="0">
                  <c:v>VFAs | Heterotroph (aerobic)</c:v>
                </c:pt>
              </c:strCache>
            </c:strRef>
          </c:tx>
          <c:spPr>
            <a:solidFill>
              <a:srgbClr val="4bacc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Empirical!$D$23,Empirical!$G$23</c:f>
              <c:numCache>
                <c:formatCode>0</c:formatCode>
                <c:ptCount val="2"/>
                <c:pt idx="0">
                  <c:v>150.270414624</c:v>
                </c:pt>
                <c:pt idx="1">
                  <c:v>147.25187397</c:v>
                </c:pt>
              </c:numCache>
            </c:numRef>
          </c:val>
        </c:ser>
        <c:ser>
          <c:idx val="5"/>
          <c:order val="5"/>
          <c:tx>
            <c:strRef>
              <c:f>Empirical!$A$24</c:f>
              <c:strCache>
                <c:ptCount val="1"/>
                <c:pt idx="0">
                  <c:v>Wet_Organics | Heterotroph (aerobic)</c:v>
                </c:pt>
              </c:strCache>
            </c:strRef>
          </c:tx>
          <c:spPr>
            <a:solidFill>
              <a:srgbClr val="f7964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Empirical!$D$24,Empirical!$G$24</c:f>
              <c:numCache>
                <c:formatCode>0</c:formatCode>
                <c:ptCount val="2"/>
                <c:pt idx="0">
                  <c:v>0</c:v>
                </c:pt>
                <c:pt idx="1">
                  <c:v>0</c:v>
                </c:pt>
              </c:numCache>
            </c:numRef>
          </c:val>
        </c:ser>
        <c:ser>
          <c:idx val="6"/>
          <c:order val="6"/>
          <c:tx>
            <c:strRef>
              <c:f>Empirical!$A$27</c:f>
              <c:strCache>
                <c:ptCount val="1"/>
                <c:pt idx="0">
                  <c:v>Cellulose | Enzymatic</c:v>
                </c:pt>
              </c:strCache>
            </c:strRef>
          </c:tx>
          <c:spPr>
            <a:solidFill>
              <a:srgbClr val="5f7530"/>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Empirical!$D$27,Empirical!$G$27</c:f>
              <c:numCache>
                <c:formatCode>0</c:formatCode>
                <c:ptCount val="2"/>
                <c:pt idx="0">
                  <c:v>565.1036152</c:v>
                </c:pt>
                <c:pt idx="1">
                  <c:v>755.5189638</c:v>
                </c:pt>
              </c:numCache>
            </c:numRef>
          </c:val>
        </c:ser>
        <c:ser>
          <c:idx val="7"/>
          <c:order val="7"/>
          <c:tx>
            <c:strRef>
              <c:f>Empirical!$A$28</c:f>
              <c:strCache>
                <c:ptCount val="1"/>
                <c:pt idx="0">
                  <c:v>Polyesters | Biochemical</c:v>
                </c:pt>
              </c:strCache>
            </c:strRef>
          </c:tx>
          <c:spPr>
            <a:solidFill>
              <a:srgbClr val="4d3b6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Empirical!$D$28,Empirical!$G$28</c:f>
              <c:numCache>
                <c:formatCode>0</c:formatCode>
                <c:ptCount val="2"/>
                <c:pt idx="0">
                  <c:v>44.283719415</c:v>
                </c:pt>
                <c:pt idx="1">
                  <c:v>117.307866</c:v>
                </c:pt>
              </c:numCache>
            </c:numRef>
          </c:val>
        </c:ser>
        <c:ser>
          <c:idx val="8"/>
          <c:order val="8"/>
          <c:tx>
            <c:strRef>
              <c:f>Empirical!$A$29</c:f>
              <c:strCache>
                <c:ptCount val="1"/>
                <c:pt idx="0">
                  <c:v>Polyamides | Biochemical</c:v>
                </c:pt>
              </c:strCache>
            </c:strRef>
          </c:tx>
          <c:spPr>
            <a:solidFill>
              <a:srgbClr val="276a7c"/>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Empirical!$B$17,Empirical!$E$17</c:f>
              <c:strCache>
                <c:ptCount val="2"/>
                <c:pt idx="0">
                  <c:v>Baseline</c:v>
                </c:pt>
                <c:pt idx="1">
                  <c:v>Aspirational</c:v>
                </c:pt>
              </c:strCache>
            </c:strRef>
          </c:cat>
          <c:val>
            <c:numRef>
              <c:f>Empirical!$D$29,Empirical!$G$29</c:f>
              <c:numCache>
                <c:formatCode>0</c:formatCode>
                <c:ptCount val="2"/>
                <c:pt idx="0">
                  <c:v>52.3511625</c:v>
                </c:pt>
                <c:pt idx="1">
                  <c:v>57.1835775</c:v>
                </c:pt>
              </c:numCache>
            </c:numRef>
          </c:val>
        </c:ser>
        <c:gapWidth val="150"/>
        <c:overlap val="100"/>
        <c:axId val="58428017"/>
        <c:axId val="31844430"/>
      </c:barChart>
      <c:catAx>
        <c:axId val="5842801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1000" spc="-1" strike="noStrike">
                <a:solidFill>
                  <a:srgbClr val="595959"/>
                </a:solidFill>
                <a:latin typeface="Calibri"/>
                <a:ea typeface="Calibri"/>
              </a:defRPr>
            </a:pPr>
          </a:p>
        </c:txPr>
        <c:crossAx val="31844430"/>
        <c:crosses val="autoZero"/>
        <c:auto val="1"/>
        <c:lblAlgn val="ctr"/>
        <c:lblOffset val="100"/>
        <c:noMultiLvlLbl val="0"/>
      </c:catAx>
      <c:valAx>
        <c:axId val="31844430"/>
        <c:scaling>
          <c:orientation val="minMax"/>
        </c:scaling>
        <c:delete val="0"/>
        <c:axPos val="l"/>
        <c:majorGridlines>
          <c:spPr>
            <a:ln w="6480">
              <a:solidFill>
                <a:srgbClr val="d9d9d9"/>
              </a:solidFill>
              <a:round/>
            </a:ln>
          </c:spPr>
        </c:majorGridlines>
        <c:title>
          <c:tx>
            <c:rich>
              <a:bodyPr rot="-5400000"/>
              <a:lstStyle/>
              <a:p>
                <a:pPr>
                  <a:defRPr b="1" lang="en-AU" sz="1000" spc="-1" strike="noStrike">
                    <a:solidFill>
                      <a:srgbClr val="595959"/>
                    </a:solidFill>
                    <a:latin typeface="Calibri"/>
                    <a:ea typeface="Calibri"/>
                  </a:defRPr>
                </a:pPr>
                <a:r>
                  <a:rPr b="1" lang="en-AU" sz="1000" spc="-1" strike="noStrike">
                    <a:solidFill>
                      <a:srgbClr val="595959"/>
                    </a:solidFill>
                    <a:latin typeface="Calibri"/>
                    <a:ea typeface="Calibri"/>
                  </a:rPr>
                  <a:t>Biomass [kg/a]</a:t>
                </a:r>
              </a:p>
            </c:rich>
          </c:tx>
          <c:overlay val="0"/>
          <c:spPr>
            <a:noFill/>
            <a:ln w="0">
              <a:noFill/>
            </a:ln>
          </c:spPr>
        </c:title>
        <c:numFmt formatCode="0" sourceLinked="0"/>
        <c:majorTickMark val="none"/>
        <c:minorTickMark val="none"/>
        <c:tickLblPos val="nextTo"/>
        <c:spPr>
          <a:ln w="9360">
            <a:noFill/>
          </a:ln>
        </c:spPr>
        <c:txPr>
          <a:bodyPr/>
          <a:lstStyle/>
          <a:p>
            <a:pPr>
              <a:defRPr b="0" sz="1000" spc="-1" strike="noStrike">
                <a:solidFill>
                  <a:srgbClr val="595959"/>
                </a:solidFill>
                <a:latin typeface="Calibri"/>
                <a:ea typeface="Calibri"/>
              </a:defRPr>
            </a:pPr>
          </a:p>
        </c:txPr>
        <c:crossAx val="58428017"/>
        <c:crosses val="autoZero"/>
        <c:crossBetween val="between"/>
      </c:valAx>
      <c:spPr>
        <a:noFill/>
        <a:ln w="0">
          <a:noFill/>
        </a:ln>
      </c:spPr>
    </c:plotArea>
    <c:legend>
      <c:legendPos val="b"/>
      <c:overlay val="0"/>
      <c:spPr>
        <a:noFill/>
        <a:ln w="0">
          <a:noFill/>
        </a:ln>
      </c:spPr>
      <c:txPr>
        <a:bodyPr/>
        <a:lstStyle/>
        <a:p>
          <a:pPr>
            <a:defRPr b="0" sz="1000" spc="-1" strike="noStrike">
              <a:solidFill>
                <a:srgbClr val="595959"/>
              </a:solidFill>
              <a:latin typeface="Calibri"/>
              <a:ea typeface="Calibri"/>
            </a:defRPr>
          </a:pPr>
        </a:p>
      </c:txPr>
    </c:legend>
    <c:plotVisOnly val="1"/>
    <c:dispBlanksAs val="gap"/>
  </c:chart>
  <c:spPr>
    <a:noFill/>
    <a:ln w="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Total Biomass [kg/a] (Aggressive)</a:t>
            </a:r>
          </a:p>
        </c:rich>
      </c:tx>
      <c:overlay val="0"/>
      <c:spPr>
        <a:noFill/>
        <a:ln w="0">
          <a:noFill/>
        </a:ln>
      </c:spPr>
    </c:title>
    <c:autoTitleDeleted val="0"/>
    <c:plotArea>
      <c:pieChart>
        <c:varyColors val="1"/>
        <c:ser>
          <c:idx val="0"/>
          <c:order val="0"/>
          <c:tx>
            <c:strRef>
              <c:f>Empirical!$G$18</c:f>
              <c:strCache>
                <c:ptCount val="1"/>
                <c:pt idx="0">
                  <c:v>Biomass [kg/a]</c:v>
                </c:pt>
              </c:strCache>
            </c:strRef>
          </c:tx>
          <c:spPr>
            <a:solidFill>
              <a:srgbClr val="c0504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Empirical!$A$19:$A$29</c:f>
              <c:strCache>
                <c:ptCount val="11"/>
                <c:pt idx="0">
                  <c:v>CO2 | Photoautotroph (aerobic)</c:v>
                </c:pt>
                <c:pt idx="1">
                  <c:v>CO2 | Lithoautotroph (aerobic)</c:v>
                </c:pt>
                <c:pt idx="2">
                  <c:v>CO | Lithoautotroph (anaerobic)</c:v>
                </c:pt>
                <c:pt idx="3">
                  <c:v>CH4 | Methanotroph (aerobic)</c:v>
                </c:pt>
                <c:pt idx="4">
                  <c:v>VFAs | Heterotroph (aerobic)</c:v>
                </c:pt>
                <c:pt idx="5">
                  <c:v>Wet_Organics | Heterotroph (aerobic)</c:v>
                </c:pt>
                <c:pt idx="6">
                  <c:v/>
                </c:pt>
                <c:pt idx="7">
                  <c:v>Wet_Organics | Heterotroph (anaerobic)</c:v>
                </c:pt>
                <c:pt idx="8">
                  <c:v>Cellulose | Enzymatic</c:v>
                </c:pt>
                <c:pt idx="9">
                  <c:v>Polyesters | Biochemical</c:v>
                </c:pt>
                <c:pt idx="10">
                  <c:v>Polyamides | Biochemical</c:v>
                </c:pt>
              </c:strCache>
            </c:strRef>
          </c:cat>
          <c:val>
            <c:numRef>
              <c:f>Empirical!$G$19:$G$29</c:f>
              <c:numCache>
                <c:formatCode>0</c:formatCode>
                <c:ptCount val="11"/>
                <c:pt idx="0">
                  <c:v>12.2761875696878</c:v>
                </c:pt>
                <c:pt idx="1">
                  <c:v>36.8285627090635</c:v>
                </c:pt>
                <c:pt idx="2">
                  <c:v>118.508623402579</c:v>
                </c:pt>
                <c:pt idx="3">
                  <c:v>1514.11287463581</c:v>
                </c:pt>
                <c:pt idx="4">
                  <c:v>147.25187397</c:v>
                </c:pt>
                <c:pt idx="5">
                  <c:v>0</c:v>
                </c:pt>
                <c:pt idx="8">
                  <c:v>755.5189638</c:v>
                </c:pt>
                <c:pt idx="9">
                  <c:v>117.307866</c:v>
                </c:pt>
                <c:pt idx="10">
                  <c:v>57.1835775</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Total Biomass [kg/a] (Conservative)</a:t>
            </a:r>
          </a:p>
        </c:rich>
      </c:tx>
      <c:overlay val="0"/>
      <c:spPr>
        <a:noFill/>
        <a:ln w="0">
          <a:noFill/>
        </a:ln>
      </c:spPr>
    </c:title>
    <c:autoTitleDeleted val="0"/>
    <c:plotArea>
      <c:pieChart>
        <c:varyColors val="1"/>
        <c:ser>
          <c:idx val="0"/>
          <c:order val="0"/>
          <c:tx>
            <c:strRef>
              <c:f>Empirical!$D$18</c:f>
              <c:strCache>
                <c:ptCount val="1"/>
                <c:pt idx="0">
                  <c:v>Biomass [kg/a]</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Empirical!$A$19:$A$29</c:f>
              <c:strCache>
                <c:ptCount val="11"/>
                <c:pt idx="0">
                  <c:v>CO2 | Photoautotroph (aerobic)</c:v>
                </c:pt>
                <c:pt idx="1">
                  <c:v>CO2 | Lithoautotroph (aerobic)</c:v>
                </c:pt>
                <c:pt idx="2">
                  <c:v>CO | Lithoautotroph (anaerobic)</c:v>
                </c:pt>
                <c:pt idx="3">
                  <c:v>CH4 | Methanotroph (aerobic)</c:v>
                </c:pt>
                <c:pt idx="4">
                  <c:v>VFAs | Heterotroph (aerobic)</c:v>
                </c:pt>
                <c:pt idx="5">
                  <c:v>Wet_Organics | Heterotroph (aerobic)</c:v>
                </c:pt>
                <c:pt idx="6">
                  <c:v/>
                </c:pt>
                <c:pt idx="7">
                  <c:v>Wet_Organics | Heterotroph (anaerobic)</c:v>
                </c:pt>
                <c:pt idx="8">
                  <c:v>Cellulose | Enzymatic</c:v>
                </c:pt>
                <c:pt idx="9">
                  <c:v>Polyesters | Biochemical</c:v>
                </c:pt>
                <c:pt idx="10">
                  <c:v>Polyamides | Biochemical</c:v>
                </c:pt>
              </c:strCache>
            </c:strRef>
          </c:cat>
          <c:val>
            <c:numRef>
              <c:f>Empirical!$D$19:$D$29</c:f>
              <c:numCache>
                <c:formatCode>0</c:formatCode>
                <c:ptCount val="11"/>
                <c:pt idx="0">
                  <c:v>255.35900949</c:v>
                </c:pt>
                <c:pt idx="1">
                  <c:v>85.11966983</c:v>
                </c:pt>
                <c:pt idx="2">
                  <c:v>1.19850319488</c:v>
                </c:pt>
                <c:pt idx="3">
                  <c:v>540.66169325772</c:v>
                </c:pt>
                <c:pt idx="4">
                  <c:v>150.270414624</c:v>
                </c:pt>
                <c:pt idx="5">
                  <c:v>0</c:v>
                </c:pt>
                <c:pt idx="8">
                  <c:v>565.1036152</c:v>
                </c:pt>
                <c:pt idx="9">
                  <c:v>44.283719415</c:v>
                </c:pt>
                <c:pt idx="10">
                  <c:v>52.3511625</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Total Biomass [kg/a] (Aggressive)</a:t>
            </a:r>
          </a:p>
        </c:rich>
      </c:tx>
      <c:overlay val="0"/>
      <c:spPr>
        <a:noFill/>
        <a:ln w="0">
          <a:noFill/>
        </a:ln>
      </c:spPr>
    </c:title>
    <c:autoTitleDeleted val="0"/>
    <c:plotArea>
      <c:pieChart>
        <c:varyColors val="1"/>
        <c:ser>
          <c:idx val="0"/>
          <c:order val="0"/>
          <c:tx>
            <c:strRef>
              <c:f>Scenarios!$H$4</c:f>
              <c:strCache>
                <c:ptCount val="1"/>
                <c:pt idx="0">
                  <c:v>Biomass [kg/a]</c:v>
                </c:pt>
              </c:strCache>
            </c:strRef>
          </c:tx>
          <c:spPr>
            <a:solidFill>
              <a:srgbClr val="c0504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Scenarios!$A$5:$A$15</c:f>
              <c:strCache>
                <c:ptCount val="11"/>
                <c:pt idx="0">
                  <c:v>CO2 | Photoautotroph (aerobic)</c:v>
                </c:pt>
                <c:pt idx="1">
                  <c:v>CO2 | Lithoautotroph (aerobic)</c:v>
                </c:pt>
                <c:pt idx="2">
                  <c:v>CO | Lithoautotroph (anaerobic)</c:v>
                </c:pt>
                <c:pt idx="3">
                  <c:v>CH4 | Methanotroph (aerobic)</c:v>
                </c:pt>
                <c:pt idx="4">
                  <c:v>VFAs | Heterotroph</c:v>
                </c:pt>
                <c:pt idx="5">
                  <c:v>Wet_Organics | Heterotroph</c:v>
                </c:pt>
                <c:pt idx="6">
                  <c:v>Wet_Organics | Mixotroph (aerobic)</c:v>
                </c:pt>
                <c:pt idx="7">
                  <c:v>Wet_Organics | Heterotroph (anaerobic)</c:v>
                </c:pt>
                <c:pt idx="8">
                  <c:v>Cellulose | Enzymatic</c:v>
                </c:pt>
                <c:pt idx="9">
                  <c:v>Polyesters | Biochemical</c:v>
                </c:pt>
                <c:pt idx="10">
                  <c:v>Polyamides | Biochemical</c:v>
                </c:pt>
              </c:strCache>
            </c:strRef>
          </c:cat>
          <c:val>
            <c:numRef>
              <c:f>Scenarios!$H$5:$H$15</c:f>
              <c:numCache>
                <c:formatCode>0</c:formatCode>
                <c:ptCount val="11"/>
                <c:pt idx="0">
                  <c:v>12.2757687493423</c:v>
                </c:pt>
                <c:pt idx="1">
                  <c:v>36.8273062480268</c:v>
                </c:pt>
                <c:pt idx="2">
                  <c:v>115.5054808992</c:v>
                </c:pt>
                <c:pt idx="3">
                  <c:v>1514.18043037808</c:v>
                </c:pt>
                <c:pt idx="4">
                  <c:v>125.996464285714</c:v>
                </c:pt>
                <c:pt idx="5">
                  <c:v>44.2092857142857</c:v>
                </c:pt>
                <c:pt idx="6">
                  <c:v>179.047607142857</c:v>
                </c:pt>
                <c:pt idx="7">
                  <c:v>0</c:v>
                </c:pt>
                <c:pt idx="8">
                  <c:v>594.428767741935</c:v>
                </c:pt>
                <c:pt idx="9">
                  <c:v>218.314887096774</c:v>
                </c:pt>
                <c:pt idx="10">
                  <c:v>77.9421774193548</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Total Biomass [kg/a] (Conservative)</a:t>
            </a:r>
          </a:p>
        </c:rich>
      </c:tx>
      <c:overlay val="0"/>
      <c:spPr>
        <a:noFill/>
        <a:ln w="0">
          <a:noFill/>
        </a:ln>
      </c:spPr>
    </c:title>
    <c:autoTitleDeleted val="0"/>
    <c:plotArea>
      <c:pieChart>
        <c:varyColors val="1"/>
        <c:ser>
          <c:idx val="0"/>
          <c:order val="0"/>
          <c:tx>
            <c:strRef>
              <c:f>Scenarios!$C$4</c:f>
              <c:strCache>
                <c:ptCount val="1"/>
                <c:pt idx="0">
                  <c:v>Biomass [kg/a]</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Scenarios!$A$5:$A$15</c:f>
              <c:strCache>
                <c:ptCount val="11"/>
                <c:pt idx="0">
                  <c:v>CO2 | Photoautotroph (aerobic)</c:v>
                </c:pt>
                <c:pt idx="1">
                  <c:v>CO2 | Lithoautotroph (aerobic)</c:v>
                </c:pt>
                <c:pt idx="2">
                  <c:v>CO | Lithoautotroph (anaerobic)</c:v>
                </c:pt>
                <c:pt idx="3">
                  <c:v>CH4 | Methanotroph (aerobic)</c:v>
                </c:pt>
                <c:pt idx="4">
                  <c:v>VFAs | Heterotroph</c:v>
                </c:pt>
                <c:pt idx="5">
                  <c:v>Wet_Organics | Heterotroph</c:v>
                </c:pt>
                <c:pt idx="6">
                  <c:v>Wet_Organics | Mixotroph (aerobic)</c:v>
                </c:pt>
                <c:pt idx="7">
                  <c:v>Wet_Organics | Heterotroph (anaerobic)</c:v>
                </c:pt>
                <c:pt idx="8">
                  <c:v>Cellulose | Enzymatic</c:v>
                </c:pt>
                <c:pt idx="9">
                  <c:v>Polyesters | Biochemical</c:v>
                </c:pt>
                <c:pt idx="10">
                  <c:v>Polyamides | Biochemical</c:v>
                </c:pt>
              </c:strCache>
            </c:strRef>
          </c:cat>
          <c:val>
            <c:numRef>
              <c:f>Scenarios!$C$5:$C$15</c:f>
              <c:numCache>
                <c:formatCode>0</c:formatCode>
                <c:ptCount val="11"/>
                <c:pt idx="0">
                  <c:v>279.298916629688</c:v>
                </c:pt>
                <c:pt idx="1">
                  <c:v>103.175357369697</c:v>
                </c:pt>
                <c:pt idx="2">
                  <c:v>10.5999692943396</c:v>
                </c:pt>
                <c:pt idx="3">
                  <c:v>350.706370199017</c:v>
                </c:pt>
                <c:pt idx="4">
                  <c:v>150.210330491803</c:v>
                </c:pt>
                <c:pt idx="5">
                  <c:v>23.1806065573771</c:v>
                </c:pt>
                <c:pt idx="6">
                  <c:v>8.88589918032787</c:v>
                </c:pt>
                <c:pt idx="7">
                  <c:v>0</c:v>
                </c:pt>
                <c:pt idx="8">
                  <c:v>511.869216666667</c:v>
                </c:pt>
                <c:pt idx="9">
                  <c:v>187.993375</c:v>
                </c:pt>
                <c:pt idx="10">
                  <c:v>67.116875</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Total Biomass [kg/a] (Conservative)</a:t>
            </a:r>
          </a:p>
        </c:rich>
      </c:tx>
      <c:overlay val="0"/>
      <c:spPr>
        <a:noFill/>
        <a:ln w="0">
          <a:noFill/>
        </a:ln>
      </c:spPr>
    </c:title>
    <c:autoTitleDeleted val="0"/>
    <c:plotArea>
      <c:pieChart>
        <c:varyColors val="1"/>
        <c:ser>
          <c:idx val="0"/>
          <c:order val="0"/>
          <c:tx>
            <c:strRef>
              <c:f>Scenarios!$D$4</c:f>
              <c:strCache>
                <c:ptCount val="1"/>
                <c:pt idx="0">
                  <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Scenarios!$A$5:$A$15</c:f>
              <c:strCache>
                <c:ptCount val="11"/>
                <c:pt idx="0">
                  <c:v>CO2 | Photoautotroph (aerobic)</c:v>
                </c:pt>
                <c:pt idx="1">
                  <c:v>CO2 | Lithoautotroph (aerobic)</c:v>
                </c:pt>
                <c:pt idx="2">
                  <c:v>CO | Lithoautotroph (anaerobic)</c:v>
                </c:pt>
                <c:pt idx="3">
                  <c:v>CH4 | Methanotroph (aerobic)</c:v>
                </c:pt>
                <c:pt idx="4">
                  <c:v>VFAs | Heterotroph</c:v>
                </c:pt>
                <c:pt idx="5">
                  <c:v>Wet_Organics | Heterotroph</c:v>
                </c:pt>
                <c:pt idx="6">
                  <c:v>Wet_Organics | Mixotroph (aerobic)</c:v>
                </c:pt>
                <c:pt idx="7">
                  <c:v>Wet_Organics | Heterotroph (anaerobic)</c:v>
                </c:pt>
                <c:pt idx="8">
                  <c:v>Cellulose | Enzymatic</c:v>
                </c:pt>
                <c:pt idx="9">
                  <c:v>Polyesters | Biochemical</c:v>
                </c:pt>
                <c:pt idx="10">
                  <c:v>Polyamides | Biochemical</c:v>
                </c:pt>
              </c:strCache>
            </c:strRef>
          </c:cat>
          <c:val>
            <c:numRef>
              <c:f>Scenarios!$D$5:$D$15</c:f>
              <c:numCache>
                <c:formatCode>0</c:formatCode>
                <c:ptCount val="11"/>
                <c:pt idx="0">
                  <c:v>255.35900949</c:v>
                </c:pt>
                <c:pt idx="1">
                  <c:v>85.11966983</c:v>
                </c:pt>
                <c:pt idx="2">
                  <c:v>1.19850319488</c:v>
                </c:pt>
                <c:pt idx="3">
                  <c:v>540.66169325772</c:v>
                </c:pt>
                <c:pt idx="4">
                  <c:v>150.270414624</c:v>
                </c:pt>
                <c:pt idx="5">
                  <c:v>0</c:v>
                </c:pt>
                <c:pt idx="6">
                  <c:v>0</c:v>
                </c:pt>
                <c:pt idx="8">
                  <c:v>565.1036152</c:v>
                </c:pt>
                <c:pt idx="9">
                  <c:v>44.283719415</c:v>
                </c:pt>
                <c:pt idx="10">
                  <c:v>52.3511625</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Total Biomass [kg/a] (Aggressive)</a:t>
            </a:r>
          </a:p>
        </c:rich>
      </c:tx>
      <c:overlay val="0"/>
      <c:spPr>
        <a:noFill/>
        <a:ln w="0">
          <a:noFill/>
        </a:ln>
      </c:spPr>
    </c:title>
    <c:autoTitleDeleted val="0"/>
    <c:plotArea>
      <c:pieChart>
        <c:varyColors val="1"/>
        <c:ser>
          <c:idx val="0"/>
          <c:order val="0"/>
          <c:tx>
            <c:strRef>
              <c:f>Scenarios!$I$4</c:f>
              <c:strCache>
                <c:ptCount val="1"/>
                <c:pt idx="0">
                  <c:v/>
                </c:pt>
              </c:strCache>
            </c:strRef>
          </c:tx>
          <c:spPr>
            <a:solidFill>
              <a:srgbClr val="c0504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Scenarios!$A$5:$A$15</c:f>
              <c:strCache>
                <c:ptCount val="11"/>
                <c:pt idx="0">
                  <c:v>CO2 | Photoautotroph (aerobic)</c:v>
                </c:pt>
                <c:pt idx="1">
                  <c:v>CO2 | Lithoautotroph (aerobic)</c:v>
                </c:pt>
                <c:pt idx="2">
                  <c:v>CO | Lithoautotroph (anaerobic)</c:v>
                </c:pt>
                <c:pt idx="3">
                  <c:v>CH4 | Methanotroph (aerobic)</c:v>
                </c:pt>
                <c:pt idx="4">
                  <c:v>VFAs | Heterotroph</c:v>
                </c:pt>
                <c:pt idx="5">
                  <c:v>Wet_Organics | Heterotroph</c:v>
                </c:pt>
                <c:pt idx="6">
                  <c:v>Wet_Organics | Mixotroph (aerobic)</c:v>
                </c:pt>
                <c:pt idx="7">
                  <c:v>Wet_Organics | Heterotroph (anaerobic)</c:v>
                </c:pt>
                <c:pt idx="8">
                  <c:v>Cellulose | Enzymatic</c:v>
                </c:pt>
                <c:pt idx="9">
                  <c:v>Polyesters | Biochemical</c:v>
                </c:pt>
                <c:pt idx="10">
                  <c:v>Polyamides | Biochemical</c:v>
                </c:pt>
              </c:strCache>
            </c:strRef>
          </c:cat>
          <c:val>
            <c:numRef>
              <c:f>Scenarios!$I$5:$I$15</c:f>
              <c:numCache>
                <c:formatCode>0</c:formatCode>
                <c:ptCount val="11"/>
                <c:pt idx="0">
                  <c:v>12.2761875696878</c:v>
                </c:pt>
                <c:pt idx="1">
                  <c:v>36.8285627090635</c:v>
                </c:pt>
                <c:pt idx="2">
                  <c:v>118.508623402579</c:v>
                </c:pt>
                <c:pt idx="3">
                  <c:v>1514.11287463581</c:v>
                </c:pt>
                <c:pt idx="4">
                  <c:v>147.25187397</c:v>
                </c:pt>
                <c:pt idx="5">
                  <c:v>0</c:v>
                </c:pt>
                <c:pt idx="6">
                  <c:v>0</c:v>
                </c:pt>
                <c:pt idx="8">
                  <c:v>755.5189638</c:v>
                </c:pt>
                <c:pt idx="9">
                  <c:v>117.307866</c:v>
                </c:pt>
                <c:pt idx="10">
                  <c:v>57.1835775</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Reactor Volumes [L] (Conservative)</a:t>
            </a:r>
          </a:p>
        </c:rich>
      </c:tx>
      <c:overlay val="0"/>
      <c:spPr>
        <a:noFill/>
        <a:ln w="0">
          <a:noFill/>
        </a:ln>
      </c:spPr>
    </c:title>
    <c:autoTitleDeleted val="0"/>
    <c:plotArea>
      <c:pieChart>
        <c:varyColors val="1"/>
        <c:ser>
          <c:idx val="0"/>
          <c:order val="0"/>
          <c:tx>
            <c:strRef>
              <c:f>Scenarios!$E$4</c:f>
              <c:strCache>
                <c:ptCount val="1"/>
                <c:pt idx="0">
                  <c:v>Reactor Volume [L]</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Scenarios!$A$5:$A$15</c:f>
              <c:strCache>
                <c:ptCount val="11"/>
                <c:pt idx="0">
                  <c:v>CO2 | Photoautotroph (aerobic)</c:v>
                </c:pt>
                <c:pt idx="1">
                  <c:v>CO2 | Lithoautotroph (aerobic)</c:v>
                </c:pt>
                <c:pt idx="2">
                  <c:v>CO | Lithoautotroph (anaerobic)</c:v>
                </c:pt>
                <c:pt idx="3">
                  <c:v>CH4 | Methanotroph (aerobic)</c:v>
                </c:pt>
                <c:pt idx="4">
                  <c:v>VFAs | Heterotroph</c:v>
                </c:pt>
                <c:pt idx="5">
                  <c:v>Wet_Organics | Heterotroph</c:v>
                </c:pt>
                <c:pt idx="6">
                  <c:v>Wet_Organics | Mixotroph (aerobic)</c:v>
                </c:pt>
                <c:pt idx="7">
                  <c:v>Wet_Organics | Heterotroph (anaerobic)</c:v>
                </c:pt>
                <c:pt idx="8">
                  <c:v>Cellulose | Enzymatic</c:v>
                </c:pt>
                <c:pt idx="9">
                  <c:v>Polyesters | Biochemical</c:v>
                </c:pt>
                <c:pt idx="10">
                  <c:v>Polyamides | Biochemical</c:v>
                </c:pt>
              </c:strCache>
            </c:strRef>
          </c:cat>
          <c:val>
            <c:numRef>
              <c:f>Scenarios!$E$5:$E$15</c:f>
              <c:numCache>
                <c:formatCode>0</c:formatCode>
                <c:ptCount val="11"/>
                <c:pt idx="0">
                  <c:v>4664.09149753425</c:v>
                </c:pt>
                <c:pt idx="1">
                  <c:v>878.390040752092</c:v>
                </c:pt>
                <c:pt idx="2">
                  <c:v>64.8632554775937</c:v>
                </c:pt>
                <c:pt idx="3">
                  <c:v>726.0318114888</c:v>
                </c:pt>
                <c:pt idx="4">
                  <c:v>103.65506837853</c:v>
                </c:pt>
                <c:pt idx="5">
                  <c:v>15.9961525275509</c:v>
                </c:pt>
                <c:pt idx="6">
                  <c:v>5.33205084251698</c:v>
                </c:pt>
                <c:pt idx="7">
                  <c:v>1690.48109589041</c:v>
                </c:pt>
                <c:pt idx="8">
                  <c:v>1529.87063511831</c:v>
                </c:pt>
                <c:pt idx="9">
                  <c:v>1329.16217410517</c:v>
                </c:pt>
                <c:pt idx="10">
                  <c:v>2372.66902342024</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Reactor Volumes [L] (Aggressive)</a:t>
            </a:r>
          </a:p>
        </c:rich>
      </c:tx>
      <c:overlay val="0"/>
      <c:spPr>
        <a:noFill/>
        <a:ln w="0">
          <a:noFill/>
        </a:ln>
      </c:spPr>
    </c:title>
    <c:autoTitleDeleted val="0"/>
    <c:plotArea>
      <c:pieChart>
        <c:varyColors val="1"/>
        <c:ser>
          <c:idx val="0"/>
          <c:order val="0"/>
          <c:tx>
            <c:strRef>
              <c:f>Scenarios!$J$4</c:f>
              <c:strCache>
                <c:ptCount val="1"/>
                <c:pt idx="0">
                  <c:v>Reactor Volume [L]</c:v>
                </c:pt>
              </c:strCache>
            </c:strRef>
          </c:tx>
          <c:spPr>
            <a:solidFill>
              <a:srgbClr val="c0504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Scenarios!$A$5:$A$15</c:f>
              <c:strCache>
                <c:ptCount val="11"/>
                <c:pt idx="0">
                  <c:v>CO2 | Photoautotroph (aerobic)</c:v>
                </c:pt>
                <c:pt idx="1">
                  <c:v>CO2 | Lithoautotroph (aerobic)</c:v>
                </c:pt>
                <c:pt idx="2">
                  <c:v>CO | Lithoautotroph (anaerobic)</c:v>
                </c:pt>
                <c:pt idx="3">
                  <c:v>CH4 | Methanotroph (aerobic)</c:v>
                </c:pt>
                <c:pt idx="4">
                  <c:v>VFAs | Heterotroph</c:v>
                </c:pt>
                <c:pt idx="5">
                  <c:v>Wet_Organics | Heterotroph</c:v>
                </c:pt>
                <c:pt idx="6">
                  <c:v>Wet_Organics | Mixotroph (aerobic)</c:v>
                </c:pt>
                <c:pt idx="7">
                  <c:v>Wet_Organics | Heterotroph (anaerobic)</c:v>
                </c:pt>
                <c:pt idx="8">
                  <c:v>Cellulose | Enzymatic</c:v>
                </c:pt>
                <c:pt idx="9">
                  <c:v>Polyesters | Biochemical</c:v>
                </c:pt>
                <c:pt idx="10">
                  <c:v>Polyamides | Biochemical</c:v>
                </c:pt>
              </c:strCache>
            </c:strRef>
          </c:cat>
          <c:val>
            <c:numRef>
              <c:f>Scenarios!$J$5:$J$15</c:f>
              <c:numCache>
                <c:formatCode>0</c:formatCode>
                <c:ptCount val="11"/>
                <c:pt idx="0">
                  <c:v>25.2477343526628</c:v>
                </c:pt>
                <c:pt idx="1">
                  <c:v>24.8907530909946</c:v>
                </c:pt>
                <c:pt idx="2">
                  <c:v>40.5076589158402</c:v>
                </c:pt>
                <c:pt idx="3">
                  <c:v>513.630664503429</c:v>
                </c:pt>
                <c:pt idx="4">
                  <c:v>17.09588801382</c:v>
                </c:pt>
                <c:pt idx="5">
                  <c:v>5.9985571978316</c:v>
                </c:pt>
                <c:pt idx="6">
                  <c:v>17.9956715934948</c:v>
                </c:pt>
                <c:pt idx="7">
                  <c:v>234.78904109589</c:v>
                </c:pt>
                <c:pt idx="8">
                  <c:v>210.25776608805</c:v>
                </c:pt>
                <c:pt idx="9">
                  <c:v>82.353591619263</c:v>
                </c:pt>
                <c:pt idx="10">
                  <c:v>147.00825799077</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Reactor Volumes [L] (Conservative)</a:t>
            </a:r>
          </a:p>
        </c:rich>
      </c:tx>
      <c:overlay val="0"/>
      <c:spPr>
        <a:noFill/>
        <a:ln w="0">
          <a:noFill/>
        </a:ln>
      </c:spPr>
    </c:title>
    <c:autoTitleDeleted val="0"/>
    <c:plotArea>
      <c:pieChart>
        <c:varyColors val="1"/>
        <c:ser>
          <c:idx val="0"/>
          <c:order val="0"/>
          <c:tx>
            <c:strRef>
              <c:f>Scenarios!$F$4</c:f>
              <c:strCache>
                <c:ptCount val="1"/>
                <c:pt idx="0">
                  <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Scenarios!$A$5:$A$15</c:f>
              <c:strCache>
                <c:ptCount val="11"/>
                <c:pt idx="0">
                  <c:v>CO2 | Photoautotroph (aerobic)</c:v>
                </c:pt>
                <c:pt idx="1">
                  <c:v>CO2 | Lithoautotroph (aerobic)</c:v>
                </c:pt>
                <c:pt idx="2">
                  <c:v>CO | Lithoautotroph (anaerobic)</c:v>
                </c:pt>
                <c:pt idx="3">
                  <c:v>CH4 | Methanotroph (aerobic)</c:v>
                </c:pt>
                <c:pt idx="4">
                  <c:v>VFAs | Heterotroph</c:v>
                </c:pt>
                <c:pt idx="5">
                  <c:v>Wet_Organics | Heterotroph</c:v>
                </c:pt>
                <c:pt idx="6">
                  <c:v>Wet_Organics | Mixotroph (aerobic)</c:v>
                </c:pt>
                <c:pt idx="7">
                  <c:v>Wet_Organics | Heterotroph (anaerobic)</c:v>
                </c:pt>
                <c:pt idx="8">
                  <c:v>Cellulose | Enzymatic</c:v>
                </c:pt>
                <c:pt idx="9">
                  <c:v>Polyesters | Biochemical</c:v>
                </c:pt>
                <c:pt idx="10">
                  <c:v>Polyamides | Biochemical</c:v>
                </c:pt>
              </c:strCache>
            </c:strRef>
          </c:cat>
          <c:val>
            <c:numRef>
              <c:f>Scenarios!$F$5:$F$15</c:f>
              <c:numCache>
                <c:formatCode>0</c:formatCode>
                <c:ptCount val="11"/>
                <c:pt idx="0">
                  <c:v>1890.84790440578</c:v>
                </c:pt>
                <c:pt idx="1">
                  <c:v>50.6966467123288</c:v>
                </c:pt>
                <c:pt idx="2">
                  <c:v>6.98631999347129</c:v>
                </c:pt>
                <c:pt idx="3">
                  <c:v>2743.08317228676</c:v>
                </c:pt>
                <c:pt idx="4">
                  <c:v>391.163673247649</c:v>
                </c:pt>
                <c:pt idx="7">
                  <c:v>347.835616438356</c:v>
                </c:pt>
                <c:pt idx="8">
                  <c:v>2345.80164051474</c:v>
                </c:pt>
                <c:pt idx="9">
                  <c:v>3466.43596203522</c:v>
                </c:pt>
                <c:pt idx="10">
                  <c:v>14342.7842465753</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400" spc="-1" strike="noStrike">
                <a:solidFill>
                  <a:srgbClr val="595959"/>
                </a:solidFill>
                <a:latin typeface="Calibri"/>
                <a:ea typeface="Calibri"/>
              </a:defRPr>
            </a:pPr>
            <a:r>
              <a:rPr b="0" lang="en-AU" sz="1400" spc="-1" strike="noStrike">
                <a:solidFill>
                  <a:srgbClr val="595959"/>
                </a:solidFill>
                <a:latin typeface="Calibri"/>
                <a:ea typeface="Calibri"/>
              </a:rPr>
              <a:t>Reactor Volumes [L] (Aggressive)</a:t>
            </a:r>
          </a:p>
        </c:rich>
      </c:tx>
      <c:overlay val="0"/>
      <c:spPr>
        <a:noFill/>
        <a:ln w="0">
          <a:noFill/>
        </a:ln>
      </c:spPr>
    </c:title>
    <c:autoTitleDeleted val="0"/>
    <c:plotArea>
      <c:pieChart>
        <c:varyColors val="1"/>
        <c:ser>
          <c:idx val="0"/>
          <c:order val="0"/>
          <c:tx>
            <c:strRef>
              <c:f>Scenarios!$K$4</c:f>
              <c:strCache>
                <c:ptCount val="1"/>
                <c:pt idx="0">
                  <c:v/>
                </c:pt>
              </c:strCache>
            </c:strRef>
          </c:tx>
          <c:spPr>
            <a:solidFill>
              <a:srgbClr val="c0504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Pt>
            <c:idx val="8"/>
            <c:spPr>
              <a:solidFill>
                <a:srgbClr val="5f7530"/>
              </a:solidFill>
              <a:ln w="19080">
                <a:solidFill>
                  <a:srgbClr val="ffffff"/>
                </a:solidFill>
                <a:round/>
              </a:ln>
            </c:spPr>
          </c:dPt>
          <c:dPt>
            <c:idx val="9"/>
            <c:spPr>
              <a:solidFill>
                <a:srgbClr val="4d3b62"/>
              </a:solidFill>
              <a:ln w="19080">
                <a:solidFill>
                  <a:srgbClr val="ffffff"/>
                </a:solidFill>
                <a:round/>
              </a:ln>
            </c:spPr>
          </c:dPt>
          <c:dPt>
            <c:idx val="10"/>
            <c:spPr>
              <a:solidFill>
                <a:srgbClr val="276a7c"/>
              </a:solidFill>
              <a:ln w="19080">
                <a:solidFill>
                  <a:srgbClr val="ffffff"/>
                </a:solidFill>
                <a:round/>
              </a:ln>
            </c:spPr>
          </c:dPt>
          <c:dLbls>
            <c:dLbl>
              <c:idx val="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2"/>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3"/>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4"/>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5"/>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6"/>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7"/>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8"/>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9"/>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dLbl>
              <c:idx val="10"/>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dLbl>
            <c:txPr>
              <a:bodyPr wrap="square"/>
              <a:lstStyle/>
              <a:p>
                <a:pPr>
                  <a:defRPr b="1" sz="1000" spc="-1" strike="noStrike">
                    <a:solidFill>
                      <a:srgbClr val="404040"/>
                    </a:solidFill>
                    <a:latin typeface="Calibri"/>
                    <a:ea typeface="Calibri"/>
                  </a:defRPr>
                </a:pPr>
              </a:p>
            </c:txPr>
            <c:dLblPos val="bestFit"/>
            <c:showLegendKey val="0"/>
            <c:showVal val="0"/>
            <c:showCatName val="0"/>
            <c:showSerName val="0"/>
            <c:showPercent val="1"/>
            <c:separator>
</c:separator>
            <c:showLeaderLines val="1"/>
          </c:dLbls>
          <c:cat>
            <c:strRef>
              <c:f>Scenarios!$A$5:$A$15</c:f>
              <c:strCache>
                <c:ptCount val="11"/>
                <c:pt idx="0">
                  <c:v>CO2 | Photoautotroph (aerobic)</c:v>
                </c:pt>
                <c:pt idx="1">
                  <c:v>CO2 | Lithoautotroph (aerobic)</c:v>
                </c:pt>
                <c:pt idx="2">
                  <c:v>CO | Lithoautotroph (anaerobic)</c:v>
                </c:pt>
                <c:pt idx="3">
                  <c:v>CH4 | Methanotroph (aerobic)</c:v>
                </c:pt>
                <c:pt idx="4">
                  <c:v>VFAs | Heterotroph</c:v>
                </c:pt>
                <c:pt idx="5">
                  <c:v>Wet_Organics | Heterotroph</c:v>
                </c:pt>
                <c:pt idx="6">
                  <c:v>Wet_Organics | Mixotroph (aerobic)</c:v>
                </c:pt>
                <c:pt idx="7">
                  <c:v>Wet_Organics | Heterotroph (anaerobic)</c:v>
                </c:pt>
                <c:pt idx="8">
                  <c:v>Cellulose | Enzymatic</c:v>
                </c:pt>
                <c:pt idx="9">
                  <c:v>Polyesters | Biochemical</c:v>
                </c:pt>
                <c:pt idx="10">
                  <c:v>Polyamides | Biochemical</c:v>
                </c:pt>
              </c:strCache>
            </c:strRef>
          </c:cat>
          <c:val>
            <c:numRef>
              <c:f>Scenarios!$K$5:$K$15</c:f>
              <c:numCache>
                <c:formatCode>0</c:formatCode>
                <c:ptCount val="11"/>
                <c:pt idx="0">
                  <c:v>15.9399955459168</c:v>
                </c:pt>
                <c:pt idx="1">
                  <c:v>1.84393588826121</c:v>
                </c:pt>
                <c:pt idx="2">
                  <c:v>204.201987425828</c:v>
                </c:pt>
                <c:pt idx="3">
                  <c:v>744.749452613466</c:v>
                </c:pt>
                <c:pt idx="4">
                  <c:v>43.4496275388939</c:v>
                </c:pt>
                <c:pt idx="7">
                  <c:v>52.1753424657534</c:v>
                </c:pt>
                <c:pt idx="8">
                  <c:v>344.985828219178</c:v>
                </c:pt>
                <c:pt idx="9">
                  <c:v>3807.95513860936</c:v>
                </c:pt>
                <c:pt idx="10">
                  <c:v>203.464072229141</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noFill/>
    <a:ln w="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Scenarios!$A$5</c:f>
              <c:strCache>
                <c:ptCount val="1"/>
                <c:pt idx="0">
                  <c:v>CO2 | Photoautotroph (aerobic)</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Scenarios!$C$5,Scenarios!$H$5</c:f>
              <c:numCache>
                <c:formatCode>0</c:formatCode>
                <c:ptCount val="2"/>
                <c:pt idx="0">
                  <c:v>279.298916629688</c:v>
                </c:pt>
                <c:pt idx="1">
                  <c:v>12.2757687493423</c:v>
                </c:pt>
              </c:numCache>
            </c:numRef>
          </c:val>
        </c:ser>
        <c:ser>
          <c:idx val="1"/>
          <c:order val="1"/>
          <c:tx>
            <c:strRef>
              <c:f>Scenarios!$A$6</c:f>
              <c:strCache>
                <c:ptCount val="1"/>
                <c:pt idx="0">
                  <c:v>CO2 | Lithoautotroph (aerobic)</c:v>
                </c:pt>
              </c:strCache>
            </c:strRef>
          </c:tx>
          <c:spPr>
            <a:solidFill>
              <a:srgbClr val="c0504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Scenarios!$C$6,Scenarios!$H$6</c:f>
              <c:numCache>
                <c:formatCode>0</c:formatCode>
                <c:ptCount val="2"/>
                <c:pt idx="0">
                  <c:v>103.175357369697</c:v>
                </c:pt>
                <c:pt idx="1">
                  <c:v>36.8273062480268</c:v>
                </c:pt>
              </c:numCache>
            </c:numRef>
          </c:val>
        </c:ser>
        <c:ser>
          <c:idx val="2"/>
          <c:order val="2"/>
          <c:tx>
            <c:strRef>
              <c:f>Scenarios!$A$7</c:f>
              <c:strCache>
                <c:ptCount val="1"/>
                <c:pt idx="0">
                  <c:v>CO | Lithoautotroph (anaerobic)</c:v>
                </c:pt>
              </c:strCache>
            </c:strRef>
          </c:tx>
          <c:spPr>
            <a:solidFill>
              <a:srgbClr val="9bbb59"/>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Scenarios!$C$7,Scenarios!$H$7</c:f>
              <c:numCache>
                <c:formatCode>0</c:formatCode>
                <c:ptCount val="2"/>
                <c:pt idx="0">
                  <c:v>10.5999692943396</c:v>
                </c:pt>
                <c:pt idx="1">
                  <c:v>115.5054808992</c:v>
                </c:pt>
              </c:numCache>
            </c:numRef>
          </c:val>
        </c:ser>
        <c:ser>
          <c:idx val="3"/>
          <c:order val="3"/>
          <c:tx>
            <c:strRef>
              <c:f>Scenarios!$A$8</c:f>
              <c:strCache>
                <c:ptCount val="1"/>
                <c:pt idx="0">
                  <c:v>CH4 | Methanotroph (aerobic)</c:v>
                </c:pt>
              </c:strCache>
            </c:strRef>
          </c:tx>
          <c:spPr>
            <a:solidFill>
              <a:srgbClr val="8064a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Scenarios!$C$8,Scenarios!$H$8</c:f>
              <c:numCache>
                <c:formatCode>0</c:formatCode>
                <c:ptCount val="2"/>
                <c:pt idx="0">
                  <c:v>350.706370199017</c:v>
                </c:pt>
                <c:pt idx="1">
                  <c:v>1514.18043037808</c:v>
                </c:pt>
              </c:numCache>
            </c:numRef>
          </c:val>
        </c:ser>
        <c:ser>
          <c:idx val="4"/>
          <c:order val="4"/>
          <c:tx>
            <c:strRef>
              <c:f>Scenarios!$A$9</c:f>
              <c:strCache>
                <c:ptCount val="1"/>
                <c:pt idx="0">
                  <c:v>VFAs | Heterotroph</c:v>
                </c:pt>
              </c:strCache>
            </c:strRef>
          </c:tx>
          <c:spPr>
            <a:solidFill>
              <a:srgbClr val="4bacc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Scenarios!$C$9,Scenarios!$H$9</c:f>
              <c:numCache>
                <c:formatCode>0</c:formatCode>
                <c:ptCount val="2"/>
                <c:pt idx="0">
                  <c:v>150.210330491803</c:v>
                </c:pt>
                <c:pt idx="1">
                  <c:v>125.996464285714</c:v>
                </c:pt>
              </c:numCache>
            </c:numRef>
          </c:val>
        </c:ser>
        <c:ser>
          <c:idx val="5"/>
          <c:order val="5"/>
          <c:tx>
            <c:strRef>
              <c:f>Scenarios!$A$10</c:f>
              <c:strCache>
                <c:ptCount val="1"/>
                <c:pt idx="0">
                  <c:v>Wet_Organics | Heterotroph</c:v>
                </c:pt>
              </c:strCache>
            </c:strRef>
          </c:tx>
          <c:spPr>
            <a:solidFill>
              <a:srgbClr val="f7964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Scenarios!$C$10,Scenarios!$H$10</c:f>
              <c:numCache>
                <c:formatCode>0</c:formatCode>
                <c:ptCount val="2"/>
                <c:pt idx="0">
                  <c:v>23.1806065573771</c:v>
                </c:pt>
                <c:pt idx="1">
                  <c:v>44.2092857142857</c:v>
                </c:pt>
              </c:numCache>
            </c:numRef>
          </c:val>
        </c:ser>
        <c:ser>
          <c:idx val="6"/>
          <c:order val="6"/>
          <c:tx>
            <c:strRef>
              <c:f>Scenarios!$A$11</c:f>
              <c:strCache>
                <c:ptCount val="1"/>
                <c:pt idx="0">
                  <c:v>Wet_Organics | Mixotroph (aerobic)</c:v>
                </c:pt>
              </c:strCache>
            </c:strRef>
          </c:tx>
          <c:spPr>
            <a:solidFill>
              <a:srgbClr val="2c4d75"/>
            </a:solidFill>
            <a:ln w="0">
              <a:noFill/>
            </a:ln>
          </c:spPr>
          <c:invertIfNegative val="0"/>
          <c:dPt>
            <c:idx val="0"/>
            <c:invertIfNegative val="0"/>
            <c:spPr>
              <a:solidFill>
                <a:srgbClr val="2c4d75"/>
              </a:solidFill>
              <a:ln w="0">
                <a:noFill/>
              </a:ln>
            </c:spPr>
          </c:dPt>
          <c:dLbls>
            <c:dLbl>
              <c:idx val="0"/>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Scenarios!$C$11,Scenarios!$H$11</c:f>
              <c:numCache>
                <c:formatCode>0</c:formatCode>
                <c:ptCount val="2"/>
                <c:pt idx="0">
                  <c:v>8.88589918032787</c:v>
                </c:pt>
                <c:pt idx="1">
                  <c:v>179.047607142857</c:v>
                </c:pt>
              </c:numCache>
            </c:numRef>
          </c:val>
        </c:ser>
        <c:ser>
          <c:idx val="7"/>
          <c:order val="7"/>
          <c:tx>
            <c:strRef>
              <c:f>Scenarios!$A$13</c:f>
              <c:strCache>
                <c:ptCount val="1"/>
                <c:pt idx="0">
                  <c:v>Cellulose | Enzymatic</c:v>
                </c:pt>
              </c:strCache>
            </c:strRef>
          </c:tx>
          <c:spPr>
            <a:solidFill>
              <a:srgbClr val="5f7530"/>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Scenarios!$C$13,Scenarios!$H$13</c:f>
              <c:numCache>
                <c:formatCode>0</c:formatCode>
                <c:ptCount val="2"/>
                <c:pt idx="0">
                  <c:v>511.869216666667</c:v>
                </c:pt>
                <c:pt idx="1">
                  <c:v>594.428767741935</c:v>
                </c:pt>
              </c:numCache>
            </c:numRef>
          </c:val>
        </c:ser>
        <c:ser>
          <c:idx val="8"/>
          <c:order val="8"/>
          <c:tx>
            <c:strRef>
              <c:f>Scenarios!$A$14</c:f>
              <c:strCache>
                <c:ptCount val="1"/>
                <c:pt idx="0">
                  <c:v>Polyesters | Biochemical</c:v>
                </c:pt>
              </c:strCache>
            </c:strRef>
          </c:tx>
          <c:spPr>
            <a:solidFill>
              <a:srgbClr val="4d3b6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Scenarios!$C$14,Scenarios!$H$14</c:f>
              <c:numCache>
                <c:formatCode>0</c:formatCode>
                <c:ptCount val="2"/>
                <c:pt idx="0">
                  <c:v>187.993375</c:v>
                </c:pt>
                <c:pt idx="1">
                  <c:v>218.314887096774</c:v>
                </c:pt>
              </c:numCache>
            </c:numRef>
          </c:val>
        </c:ser>
        <c:ser>
          <c:idx val="9"/>
          <c:order val="9"/>
          <c:tx>
            <c:strRef>
              <c:f>Scenarios!$A$15</c:f>
              <c:strCache>
                <c:ptCount val="1"/>
                <c:pt idx="0">
                  <c:v>Polyamides | Biochemical</c:v>
                </c:pt>
              </c:strCache>
            </c:strRef>
          </c:tx>
          <c:spPr>
            <a:solidFill>
              <a:srgbClr val="276a7c"/>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Scenarios!$C$15,Scenarios!$H$15</c:f>
              <c:numCache>
                <c:formatCode>0</c:formatCode>
                <c:ptCount val="2"/>
                <c:pt idx="0">
                  <c:v>67.116875</c:v>
                </c:pt>
                <c:pt idx="1">
                  <c:v>77.9421774193548</c:v>
                </c:pt>
              </c:numCache>
            </c:numRef>
          </c:val>
        </c:ser>
        <c:gapWidth val="150"/>
        <c:overlap val="100"/>
        <c:axId val="98833982"/>
        <c:axId val="45866384"/>
      </c:barChart>
      <c:catAx>
        <c:axId val="9883398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1000" spc="-1" strike="noStrike">
                <a:solidFill>
                  <a:srgbClr val="595959"/>
                </a:solidFill>
                <a:latin typeface="Calibri"/>
                <a:ea typeface="Calibri"/>
              </a:defRPr>
            </a:pPr>
          </a:p>
        </c:txPr>
        <c:crossAx val="45866384"/>
        <c:crosses val="autoZero"/>
        <c:auto val="1"/>
        <c:lblAlgn val="ctr"/>
        <c:lblOffset val="100"/>
        <c:noMultiLvlLbl val="0"/>
      </c:catAx>
      <c:valAx>
        <c:axId val="45866384"/>
        <c:scaling>
          <c:orientation val="minMax"/>
        </c:scaling>
        <c:delete val="0"/>
        <c:axPos val="l"/>
        <c:majorGridlines>
          <c:spPr>
            <a:ln w="6480">
              <a:solidFill>
                <a:srgbClr val="d9d9d9"/>
              </a:solidFill>
              <a:round/>
            </a:ln>
          </c:spPr>
        </c:majorGridlines>
        <c:title>
          <c:tx>
            <c:rich>
              <a:bodyPr rot="-5400000"/>
              <a:lstStyle/>
              <a:p>
                <a:pPr>
                  <a:defRPr b="1" lang="en-AU" sz="1000" spc="-1" strike="noStrike">
                    <a:solidFill>
                      <a:srgbClr val="595959"/>
                    </a:solidFill>
                    <a:latin typeface="Calibri"/>
                    <a:ea typeface="Calibri"/>
                  </a:defRPr>
                </a:pPr>
                <a:r>
                  <a:rPr b="1" lang="en-AU" sz="1000" spc="-1" strike="noStrike">
                    <a:solidFill>
                      <a:srgbClr val="595959"/>
                    </a:solidFill>
                    <a:latin typeface="Calibri"/>
                    <a:ea typeface="Calibri"/>
                  </a:rPr>
                  <a:t>Biomass [kg/a]</a:t>
                </a:r>
              </a:p>
            </c:rich>
          </c:tx>
          <c:overlay val="0"/>
          <c:spPr>
            <a:noFill/>
            <a:ln w="0">
              <a:noFill/>
            </a:ln>
          </c:spPr>
        </c:title>
        <c:numFmt formatCode="0" sourceLinked="0"/>
        <c:majorTickMark val="none"/>
        <c:minorTickMark val="none"/>
        <c:tickLblPos val="nextTo"/>
        <c:spPr>
          <a:ln w="9360">
            <a:noFill/>
          </a:ln>
        </c:spPr>
        <c:txPr>
          <a:bodyPr/>
          <a:lstStyle/>
          <a:p>
            <a:pPr>
              <a:defRPr b="0" sz="1000" spc="-1" strike="noStrike">
                <a:solidFill>
                  <a:srgbClr val="595959"/>
                </a:solidFill>
                <a:latin typeface="Calibri"/>
                <a:ea typeface="Calibri"/>
              </a:defRPr>
            </a:pPr>
          </a:p>
        </c:txPr>
        <c:crossAx val="98833982"/>
        <c:crosses val="autoZero"/>
        <c:crossBetween val="between"/>
      </c:valAx>
      <c:spPr>
        <a:noFill/>
        <a:ln w="0">
          <a:noFill/>
        </a:ln>
      </c:spPr>
    </c:plotArea>
    <c:legend>
      <c:legendPos val="b"/>
      <c:overlay val="0"/>
      <c:spPr>
        <a:noFill/>
        <a:ln w="0">
          <a:noFill/>
        </a:ln>
      </c:spPr>
      <c:txPr>
        <a:bodyPr/>
        <a:lstStyle/>
        <a:p>
          <a:pPr>
            <a:defRPr b="0" sz="1000" spc="-1" strike="noStrike">
              <a:solidFill>
                <a:srgbClr val="595959"/>
              </a:solidFill>
              <a:latin typeface="Calibri"/>
              <a:ea typeface="Calibri"/>
            </a:defRPr>
          </a:pPr>
        </a:p>
      </c:txPr>
    </c:legend>
    <c:plotVisOnly val="1"/>
    <c:dispBlanksAs val="gap"/>
  </c:chart>
  <c:spPr>
    <a:noFill/>
    <a:ln w="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Scenarios!$A$5</c:f>
              <c:strCache>
                <c:ptCount val="1"/>
                <c:pt idx="0">
                  <c:v>CO2 | Photoautotroph (aerobic)</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Scenarios!$E$5,Scenarios!$J$5</c:f>
              <c:numCache>
                <c:formatCode>0</c:formatCode>
                <c:ptCount val="2"/>
                <c:pt idx="0">
                  <c:v>4664.09149753425</c:v>
                </c:pt>
                <c:pt idx="1">
                  <c:v>25.2477343526628</c:v>
                </c:pt>
              </c:numCache>
            </c:numRef>
          </c:val>
        </c:ser>
        <c:ser>
          <c:idx val="1"/>
          <c:order val="1"/>
          <c:tx>
            <c:strRef>
              <c:f>Scenarios!$A$6</c:f>
              <c:strCache>
                <c:ptCount val="1"/>
                <c:pt idx="0">
                  <c:v>CO2 | Lithoautotroph (aerobic)</c:v>
                </c:pt>
              </c:strCache>
            </c:strRef>
          </c:tx>
          <c:spPr>
            <a:solidFill>
              <a:srgbClr val="c0504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Scenarios!$E$6,Scenarios!$J$6</c:f>
              <c:numCache>
                <c:formatCode>0</c:formatCode>
                <c:ptCount val="2"/>
                <c:pt idx="0">
                  <c:v>878.390040752092</c:v>
                </c:pt>
                <c:pt idx="1">
                  <c:v>24.8907530909946</c:v>
                </c:pt>
              </c:numCache>
            </c:numRef>
          </c:val>
        </c:ser>
        <c:ser>
          <c:idx val="2"/>
          <c:order val="2"/>
          <c:tx>
            <c:strRef>
              <c:f>Scenarios!$A$7</c:f>
              <c:strCache>
                <c:ptCount val="1"/>
                <c:pt idx="0">
                  <c:v>CO | Lithoautotroph (anaerobic)</c:v>
                </c:pt>
              </c:strCache>
            </c:strRef>
          </c:tx>
          <c:spPr>
            <a:solidFill>
              <a:srgbClr val="9bbb59"/>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Scenarios!$E$7,Scenarios!$J$7</c:f>
              <c:numCache>
                <c:formatCode>0</c:formatCode>
                <c:ptCount val="2"/>
                <c:pt idx="0">
                  <c:v>64.8632554775937</c:v>
                </c:pt>
                <c:pt idx="1">
                  <c:v>40.5076589158402</c:v>
                </c:pt>
              </c:numCache>
            </c:numRef>
          </c:val>
        </c:ser>
        <c:ser>
          <c:idx val="3"/>
          <c:order val="3"/>
          <c:tx>
            <c:strRef>
              <c:f>Scenarios!$A$8</c:f>
              <c:strCache>
                <c:ptCount val="1"/>
                <c:pt idx="0">
                  <c:v>CH4 | Methanotroph (aerobic)</c:v>
                </c:pt>
              </c:strCache>
            </c:strRef>
          </c:tx>
          <c:spPr>
            <a:solidFill>
              <a:srgbClr val="8064a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Scenarios!$E$8,Scenarios!$J$8</c:f>
              <c:numCache>
                <c:formatCode>0</c:formatCode>
                <c:ptCount val="2"/>
                <c:pt idx="0">
                  <c:v>726.0318114888</c:v>
                </c:pt>
                <c:pt idx="1">
                  <c:v>513.630664503429</c:v>
                </c:pt>
              </c:numCache>
            </c:numRef>
          </c:val>
        </c:ser>
        <c:ser>
          <c:idx val="4"/>
          <c:order val="4"/>
          <c:tx>
            <c:strRef>
              <c:f>Scenarios!$A$9</c:f>
              <c:strCache>
                <c:ptCount val="1"/>
                <c:pt idx="0">
                  <c:v>VFAs | Heterotroph</c:v>
                </c:pt>
              </c:strCache>
            </c:strRef>
          </c:tx>
          <c:spPr>
            <a:solidFill>
              <a:srgbClr val="4bacc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Scenarios!$E$9,Scenarios!$J$9</c:f>
              <c:numCache>
                <c:formatCode>0</c:formatCode>
                <c:ptCount val="2"/>
                <c:pt idx="0">
                  <c:v>103.65506837853</c:v>
                </c:pt>
                <c:pt idx="1">
                  <c:v>17.09588801382</c:v>
                </c:pt>
              </c:numCache>
            </c:numRef>
          </c:val>
        </c:ser>
        <c:ser>
          <c:idx val="5"/>
          <c:order val="5"/>
          <c:tx>
            <c:strRef>
              <c:f>Scenarios!$A$10</c:f>
              <c:strCache>
                <c:ptCount val="1"/>
                <c:pt idx="0">
                  <c:v>Wet_Organics | Heterotroph</c:v>
                </c:pt>
              </c:strCache>
            </c:strRef>
          </c:tx>
          <c:spPr>
            <a:solidFill>
              <a:srgbClr val="f7964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Scenarios!$E$10,Scenarios!$J$10</c:f>
              <c:numCache>
                <c:formatCode>0</c:formatCode>
                <c:ptCount val="2"/>
                <c:pt idx="0">
                  <c:v>15.9961525275509</c:v>
                </c:pt>
                <c:pt idx="1">
                  <c:v>5.9985571978316</c:v>
                </c:pt>
              </c:numCache>
            </c:numRef>
          </c:val>
        </c:ser>
        <c:ser>
          <c:idx val="6"/>
          <c:order val="6"/>
          <c:tx>
            <c:strRef>
              <c:f>Scenarios!$A$11</c:f>
              <c:strCache>
                <c:ptCount val="1"/>
                <c:pt idx="0">
                  <c:v>Wet_Organics | Mixotroph (aerobic)</c:v>
                </c:pt>
              </c:strCache>
            </c:strRef>
          </c:tx>
          <c:spPr>
            <a:solidFill>
              <a:srgbClr val="2c4d75"/>
            </a:solidFill>
            <a:ln w="0">
              <a:noFill/>
            </a:ln>
          </c:spPr>
          <c:invertIfNegative val="0"/>
          <c:dPt>
            <c:idx val="0"/>
            <c:invertIfNegative val="0"/>
            <c:spPr>
              <a:solidFill>
                <a:srgbClr val="2c4d75"/>
              </a:solidFill>
              <a:ln w="0">
                <a:noFill/>
              </a:ln>
            </c:spPr>
          </c:dPt>
          <c:dLbls>
            <c:dLbl>
              <c:idx val="0"/>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Scenarios!$E$11,Scenarios!$J$11</c:f>
              <c:numCache>
                <c:formatCode>0</c:formatCode>
                <c:ptCount val="2"/>
                <c:pt idx="0">
                  <c:v>5.33205084251698</c:v>
                </c:pt>
                <c:pt idx="1">
                  <c:v>17.9956715934948</c:v>
                </c:pt>
              </c:numCache>
            </c:numRef>
          </c:val>
        </c:ser>
        <c:ser>
          <c:idx val="7"/>
          <c:order val="7"/>
          <c:tx>
            <c:strRef>
              <c:f>Scenarios!$A$13</c:f>
              <c:strCache>
                <c:ptCount val="1"/>
                <c:pt idx="0">
                  <c:v>Cellulose | Enzymatic</c:v>
                </c:pt>
              </c:strCache>
            </c:strRef>
          </c:tx>
          <c:spPr>
            <a:solidFill>
              <a:srgbClr val="5f7530"/>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Scenarios!$E$13,Scenarios!$J$13</c:f>
              <c:numCache>
                <c:formatCode>0</c:formatCode>
                <c:ptCount val="2"/>
                <c:pt idx="0">
                  <c:v>1529.87063511831</c:v>
                </c:pt>
                <c:pt idx="1">
                  <c:v>210.25776608805</c:v>
                </c:pt>
              </c:numCache>
            </c:numRef>
          </c:val>
        </c:ser>
        <c:ser>
          <c:idx val="8"/>
          <c:order val="8"/>
          <c:tx>
            <c:strRef>
              <c:f>Scenarios!$A$14</c:f>
              <c:strCache>
                <c:ptCount val="1"/>
                <c:pt idx="0">
                  <c:v>Polyesters | Biochemical</c:v>
                </c:pt>
              </c:strCache>
            </c:strRef>
          </c:tx>
          <c:spPr>
            <a:solidFill>
              <a:srgbClr val="4d3b6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Scenarios!$E$14,Scenarios!$J$14</c:f>
              <c:numCache>
                <c:formatCode>0</c:formatCode>
                <c:ptCount val="2"/>
                <c:pt idx="0">
                  <c:v>1329.16217410517</c:v>
                </c:pt>
                <c:pt idx="1">
                  <c:v>82.353591619263</c:v>
                </c:pt>
              </c:numCache>
            </c:numRef>
          </c:val>
        </c:ser>
        <c:ser>
          <c:idx val="9"/>
          <c:order val="9"/>
          <c:tx>
            <c:strRef>
              <c:f>Scenarios!$A$15</c:f>
              <c:strCache>
                <c:ptCount val="1"/>
                <c:pt idx="0">
                  <c:v>Polyamides | Biochemical</c:v>
                </c:pt>
              </c:strCache>
            </c:strRef>
          </c:tx>
          <c:spPr>
            <a:solidFill>
              <a:srgbClr val="276a7c"/>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Scenarios!$E$15,Scenarios!$J$15</c:f>
              <c:numCache>
                <c:formatCode>0</c:formatCode>
                <c:ptCount val="2"/>
                <c:pt idx="0">
                  <c:v>2372.66902342024</c:v>
                </c:pt>
                <c:pt idx="1">
                  <c:v>147.00825799077</c:v>
                </c:pt>
              </c:numCache>
            </c:numRef>
          </c:val>
        </c:ser>
        <c:gapWidth val="150"/>
        <c:overlap val="100"/>
        <c:axId val="7573977"/>
        <c:axId val="76603927"/>
      </c:barChart>
      <c:catAx>
        <c:axId val="757397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1000" spc="-1" strike="noStrike">
                <a:solidFill>
                  <a:srgbClr val="595959"/>
                </a:solidFill>
                <a:latin typeface="Calibri"/>
                <a:ea typeface="Calibri"/>
              </a:defRPr>
            </a:pPr>
          </a:p>
        </c:txPr>
        <c:crossAx val="76603927"/>
        <c:crosses val="autoZero"/>
        <c:auto val="1"/>
        <c:lblAlgn val="ctr"/>
        <c:lblOffset val="100"/>
        <c:noMultiLvlLbl val="0"/>
      </c:catAx>
      <c:valAx>
        <c:axId val="76603927"/>
        <c:scaling>
          <c:orientation val="minMax"/>
        </c:scaling>
        <c:delete val="0"/>
        <c:axPos val="l"/>
        <c:majorGridlines>
          <c:spPr>
            <a:ln w="6480">
              <a:solidFill>
                <a:srgbClr val="d9d9d9"/>
              </a:solidFill>
              <a:round/>
            </a:ln>
          </c:spPr>
        </c:majorGridlines>
        <c:title>
          <c:tx>
            <c:rich>
              <a:bodyPr rot="-5400000"/>
              <a:lstStyle/>
              <a:p>
                <a:pPr>
                  <a:defRPr b="1" lang="en-AU" sz="1000" spc="-1" strike="noStrike">
                    <a:solidFill>
                      <a:srgbClr val="595959"/>
                    </a:solidFill>
                    <a:latin typeface="Calibri"/>
                    <a:ea typeface="Calibri"/>
                  </a:defRPr>
                </a:pPr>
                <a:r>
                  <a:rPr b="1" lang="en-AU" sz="1000" spc="-1" strike="noStrike">
                    <a:solidFill>
                      <a:srgbClr val="595959"/>
                    </a:solidFill>
                    <a:latin typeface="Calibri"/>
                    <a:ea typeface="Calibri"/>
                  </a:rPr>
                  <a:t>Reactor Volume [L]</a:t>
                </a:r>
              </a:p>
            </c:rich>
          </c:tx>
          <c:overlay val="0"/>
          <c:spPr>
            <a:noFill/>
            <a:ln w="0">
              <a:noFill/>
            </a:ln>
          </c:spPr>
        </c:title>
        <c:numFmt formatCode="0" sourceLinked="0"/>
        <c:majorTickMark val="none"/>
        <c:minorTickMark val="none"/>
        <c:tickLblPos val="nextTo"/>
        <c:spPr>
          <a:ln w="9360">
            <a:noFill/>
          </a:ln>
        </c:spPr>
        <c:txPr>
          <a:bodyPr/>
          <a:lstStyle/>
          <a:p>
            <a:pPr>
              <a:defRPr b="0" sz="1000" spc="-1" strike="noStrike">
                <a:solidFill>
                  <a:srgbClr val="595959"/>
                </a:solidFill>
                <a:latin typeface="Calibri"/>
                <a:ea typeface="Calibri"/>
              </a:defRPr>
            </a:pPr>
          </a:p>
        </c:txPr>
        <c:crossAx val="7573977"/>
        <c:crosses val="autoZero"/>
        <c:crossBetween val="between"/>
      </c:valAx>
      <c:spPr>
        <a:noFill/>
        <a:ln w="0">
          <a:noFill/>
        </a:ln>
      </c:spPr>
    </c:plotArea>
    <c:legend>
      <c:legendPos val="b"/>
      <c:overlay val="0"/>
      <c:spPr>
        <a:noFill/>
        <a:ln w="0">
          <a:noFill/>
        </a:ln>
      </c:spPr>
      <c:txPr>
        <a:bodyPr/>
        <a:lstStyle/>
        <a:p>
          <a:pPr>
            <a:defRPr b="0" sz="1000" spc="-1" strike="noStrike">
              <a:solidFill>
                <a:srgbClr val="595959"/>
              </a:solidFill>
              <a:latin typeface="Calibri"/>
              <a:ea typeface="Calibri"/>
            </a:defRPr>
          </a:pPr>
        </a:p>
      </c:txPr>
    </c:legend>
    <c:plotVisOnly val="1"/>
    <c:dispBlanksAs val="gap"/>
  </c:chart>
  <c:spPr>
    <a:noFill/>
    <a:ln w="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Scenarios!$A$5</c:f>
              <c:strCache>
                <c:ptCount val="1"/>
                <c:pt idx="0">
                  <c:v>CO2 | Photoautotroph (aerobic)</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Scenarios!$F$5,Scenarios!$K$5</c:f>
              <c:numCache>
                <c:formatCode>0</c:formatCode>
                <c:ptCount val="2"/>
                <c:pt idx="0">
                  <c:v>1890.84790440578</c:v>
                </c:pt>
                <c:pt idx="1">
                  <c:v>15.9399955459168</c:v>
                </c:pt>
              </c:numCache>
            </c:numRef>
          </c:val>
        </c:ser>
        <c:ser>
          <c:idx val="1"/>
          <c:order val="1"/>
          <c:tx>
            <c:strRef>
              <c:f>Scenarios!$A$6</c:f>
              <c:strCache>
                <c:ptCount val="1"/>
                <c:pt idx="0">
                  <c:v>CO2 | Lithoautotroph (aerobic)</c:v>
                </c:pt>
              </c:strCache>
            </c:strRef>
          </c:tx>
          <c:spPr>
            <a:solidFill>
              <a:srgbClr val="c0504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Scenarios!$F$6,Scenarios!$K$6</c:f>
              <c:numCache>
                <c:formatCode>0</c:formatCode>
                <c:ptCount val="2"/>
                <c:pt idx="0">
                  <c:v>50.6966467123288</c:v>
                </c:pt>
                <c:pt idx="1">
                  <c:v>1.84393588826121</c:v>
                </c:pt>
              </c:numCache>
            </c:numRef>
          </c:val>
        </c:ser>
        <c:ser>
          <c:idx val="2"/>
          <c:order val="2"/>
          <c:tx>
            <c:strRef>
              <c:f>Scenarios!$A$7</c:f>
              <c:strCache>
                <c:ptCount val="1"/>
                <c:pt idx="0">
                  <c:v>CO | Lithoautotroph (anaerobic)</c:v>
                </c:pt>
              </c:strCache>
            </c:strRef>
          </c:tx>
          <c:spPr>
            <a:solidFill>
              <a:srgbClr val="9bbb59"/>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Scenarios!$F$7,Scenarios!$K$7</c:f>
              <c:numCache>
                <c:formatCode>0</c:formatCode>
                <c:ptCount val="2"/>
                <c:pt idx="0">
                  <c:v>6.98631999347129</c:v>
                </c:pt>
                <c:pt idx="1">
                  <c:v>204.201987425828</c:v>
                </c:pt>
              </c:numCache>
            </c:numRef>
          </c:val>
        </c:ser>
        <c:ser>
          <c:idx val="3"/>
          <c:order val="3"/>
          <c:tx>
            <c:strRef>
              <c:f>Scenarios!$A$8</c:f>
              <c:strCache>
                <c:ptCount val="1"/>
                <c:pt idx="0">
                  <c:v>CH4 | Methanotroph (aerobic)</c:v>
                </c:pt>
              </c:strCache>
            </c:strRef>
          </c:tx>
          <c:spPr>
            <a:solidFill>
              <a:srgbClr val="8064a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Scenarios!$F$8,Scenarios!$K$8</c:f>
              <c:numCache>
                <c:formatCode>0</c:formatCode>
                <c:ptCount val="2"/>
                <c:pt idx="0">
                  <c:v>2743.08317228676</c:v>
                </c:pt>
                <c:pt idx="1">
                  <c:v>744.749452613466</c:v>
                </c:pt>
              </c:numCache>
            </c:numRef>
          </c:val>
        </c:ser>
        <c:ser>
          <c:idx val="4"/>
          <c:order val="4"/>
          <c:tx>
            <c:strRef>
              <c:f>Scenarios!$A$9</c:f>
              <c:strCache>
                <c:ptCount val="1"/>
                <c:pt idx="0">
                  <c:v>VFAs | Heterotroph</c:v>
                </c:pt>
              </c:strCache>
            </c:strRef>
          </c:tx>
          <c:spPr>
            <a:solidFill>
              <a:srgbClr val="4bacc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Scenarios!$F$9,Scenarios!$K$9</c:f>
              <c:numCache>
                <c:formatCode>0</c:formatCode>
                <c:ptCount val="2"/>
                <c:pt idx="0">
                  <c:v>391.163673247649</c:v>
                </c:pt>
                <c:pt idx="1">
                  <c:v>43.4496275388939</c:v>
                </c:pt>
              </c:numCache>
            </c:numRef>
          </c:val>
        </c:ser>
        <c:ser>
          <c:idx val="5"/>
          <c:order val="5"/>
          <c:tx>
            <c:strRef>
              <c:f>Scenarios!$A$10</c:f>
              <c:strCache>
                <c:ptCount val="1"/>
                <c:pt idx="0">
                  <c:v>Wet_Organics | Heterotroph</c:v>
                </c:pt>
              </c:strCache>
            </c:strRef>
          </c:tx>
          <c:spPr>
            <a:solidFill>
              <a:srgbClr val="f7964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Scenarios!$F$10,Scenarios!$K$10</c:f>
              <c:numCache>
                <c:formatCode>0</c:formatCode>
                <c:ptCount val="2"/>
              </c:numCache>
            </c:numRef>
          </c:val>
        </c:ser>
        <c:ser>
          <c:idx val="6"/>
          <c:order val="6"/>
          <c:tx>
            <c:strRef>
              <c:f>Scenarios!$A$11</c:f>
              <c:strCache>
                <c:ptCount val="1"/>
                <c:pt idx="0">
                  <c:v>Wet_Organics | Mixotroph (aerobic)</c:v>
                </c:pt>
              </c:strCache>
            </c:strRef>
          </c:tx>
          <c:spPr>
            <a:solidFill>
              <a:srgbClr val="2c4d75"/>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Scenarios!$F$11,Scenarios!$K$11</c:f>
              <c:numCache>
                <c:formatCode>0</c:formatCode>
                <c:ptCount val="2"/>
              </c:numCache>
            </c:numRef>
          </c:val>
        </c:ser>
        <c:ser>
          <c:idx val="7"/>
          <c:order val="7"/>
          <c:tx>
            <c:strRef>
              <c:f>Scenarios!$A$13</c:f>
              <c:strCache>
                <c:ptCount val="1"/>
                <c:pt idx="0">
                  <c:v>Cellulose | Enzymatic</c:v>
                </c:pt>
              </c:strCache>
            </c:strRef>
          </c:tx>
          <c:spPr>
            <a:solidFill>
              <a:srgbClr val="5f7530"/>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Scenarios!$F$13,Scenarios!$K$13</c:f>
              <c:numCache>
                <c:formatCode>0</c:formatCode>
                <c:ptCount val="2"/>
                <c:pt idx="0">
                  <c:v>2345.80164051474</c:v>
                </c:pt>
                <c:pt idx="1">
                  <c:v>344.985828219178</c:v>
                </c:pt>
              </c:numCache>
            </c:numRef>
          </c:val>
        </c:ser>
        <c:ser>
          <c:idx val="8"/>
          <c:order val="8"/>
          <c:tx>
            <c:strRef>
              <c:f>Scenarios!$A$14</c:f>
              <c:strCache>
                <c:ptCount val="1"/>
                <c:pt idx="0">
                  <c:v>Polyesters | Biochemical</c:v>
                </c:pt>
              </c:strCache>
            </c:strRef>
          </c:tx>
          <c:spPr>
            <a:solidFill>
              <a:srgbClr val="4d3b62"/>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Scenarios!$F$14,Scenarios!$K$14</c:f>
              <c:numCache>
                <c:formatCode>0</c:formatCode>
                <c:ptCount val="2"/>
                <c:pt idx="0">
                  <c:v>3466.43596203522</c:v>
                </c:pt>
                <c:pt idx="1">
                  <c:v>3807.95513860936</c:v>
                </c:pt>
              </c:numCache>
            </c:numRef>
          </c:val>
        </c:ser>
        <c:ser>
          <c:idx val="9"/>
          <c:order val="9"/>
          <c:tx>
            <c:strRef>
              <c:f>Scenarios!$A$15</c:f>
              <c:strCache>
                <c:ptCount val="1"/>
                <c:pt idx="0">
                  <c:v>Polyamides | Biochemical</c:v>
                </c:pt>
              </c:strCache>
            </c:strRef>
          </c:tx>
          <c:spPr>
            <a:solidFill>
              <a:srgbClr val="276a7c"/>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Scenarios!$B$3,Scenarios!$G$3</c:f>
              <c:strCache>
                <c:ptCount val="2"/>
                <c:pt idx="0">
                  <c:v>Baseline</c:v>
                </c:pt>
                <c:pt idx="1">
                  <c:v>Aspirational</c:v>
                </c:pt>
              </c:strCache>
            </c:strRef>
          </c:cat>
          <c:val>
            <c:numRef>
              <c:f>Scenarios!$F$15,Scenarios!$K$15</c:f>
              <c:numCache>
                <c:formatCode>0</c:formatCode>
                <c:ptCount val="2"/>
                <c:pt idx="0">
                  <c:v>14342.7842465753</c:v>
                </c:pt>
                <c:pt idx="1">
                  <c:v>203.464072229141</c:v>
                </c:pt>
              </c:numCache>
            </c:numRef>
          </c:val>
        </c:ser>
        <c:gapWidth val="150"/>
        <c:overlap val="100"/>
        <c:axId val="23018284"/>
        <c:axId val="4930224"/>
      </c:barChart>
      <c:catAx>
        <c:axId val="2301828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1000" spc="-1" strike="noStrike">
                <a:solidFill>
                  <a:srgbClr val="595959"/>
                </a:solidFill>
                <a:latin typeface="Calibri"/>
                <a:ea typeface="Calibri"/>
              </a:defRPr>
            </a:pPr>
          </a:p>
        </c:txPr>
        <c:crossAx val="4930224"/>
        <c:crosses val="autoZero"/>
        <c:auto val="1"/>
        <c:lblAlgn val="ctr"/>
        <c:lblOffset val="100"/>
        <c:noMultiLvlLbl val="0"/>
      </c:catAx>
      <c:valAx>
        <c:axId val="4930224"/>
        <c:scaling>
          <c:orientation val="minMax"/>
        </c:scaling>
        <c:delete val="0"/>
        <c:axPos val="l"/>
        <c:majorGridlines>
          <c:spPr>
            <a:ln w="6480">
              <a:solidFill>
                <a:srgbClr val="d9d9d9"/>
              </a:solidFill>
              <a:round/>
            </a:ln>
          </c:spPr>
        </c:majorGridlines>
        <c:title>
          <c:tx>
            <c:rich>
              <a:bodyPr rot="-5400000"/>
              <a:lstStyle/>
              <a:p>
                <a:pPr>
                  <a:defRPr b="1" lang="en-AU" sz="1000" spc="-1" strike="noStrike">
                    <a:solidFill>
                      <a:srgbClr val="595959"/>
                    </a:solidFill>
                    <a:latin typeface="Calibri"/>
                    <a:ea typeface="Calibri"/>
                  </a:defRPr>
                </a:pPr>
                <a:r>
                  <a:rPr b="1" lang="en-AU" sz="1000" spc="-1" strike="noStrike">
                    <a:solidFill>
                      <a:srgbClr val="595959"/>
                    </a:solidFill>
                    <a:latin typeface="Calibri"/>
                    <a:ea typeface="Calibri"/>
                  </a:rPr>
                  <a:t>Reactor Volume [L]</a:t>
                </a:r>
              </a:p>
            </c:rich>
          </c:tx>
          <c:overlay val="0"/>
          <c:spPr>
            <a:noFill/>
            <a:ln w="0">
              <a:noFill/>
            </a:ln>
          </c:spPr>
        </c:title>
        <c:numFmt formatCode="0" sourceLinked="0"/>
        <c:majorTickMark val="none"/>
        <c:minorTickMark val="none"/>
        <c:tickLblPos val="nextTo"/>
        <c:spPr>
          <a:ln w="9360">
            <a:noFill/>
          </a:ln>
        </c:spPr>
        <c:txPr>
          <a:bodyPr/>
          <a:lstStyle/>
          <a:p>
            <a:pPr>
              <a:defRPr b="0" sz="1000" spc="-1" strike="noStrike">
                <a:solidFill>
                  <a:srgbClr val="595959"/>
                </a:solidFill>
                <a:latin typeface="Calibri"/>
                <a:ea typeface="Calibri"/>
              </a:defRPr>
            </a:pPr>
          </a:p>
        </c:txPr>
        <c:crossAx val="23018284"/>
        <c:crosses val="autoZero"/>
        <c:crossBetween val="between"/>
      </c:valAx>
      <c:spPr>
        <a:noFill/>
        <a:ln w="0">
          <a:noFill/>
        </a:ln>
      </c:spPr>
    </c:plotArea>
    <c:legend>
      <c:legendPos val="b"/>
      <c:overlay val="0"/>
      <c:spPr>
        <a:noFill/>
        <a:ln w="0">
          <a:noFill/>
        </a:ln>
      </c:spPr>
      <c:txPr>
        <a:bodyPr/>
        <a:lstStyle/>
        <a:p>
          <a:pPr>
            <a:defRPr b="0" sz="1000" spc="-1" strike="noStrike">
              <a:solidFill>
                <a:srgbClr val="595959"/>
              </a:solidFill>
              <a:latin typeface="Calibri"/>
              <a:ea typeface="Calibri"/>
            </a:defRPr>
          </a:pPr>
        </a:p>
      </c:txPr>
    </c:legend>
    <c:plotVisOnly val="1"/>
    <c:dispBlanksAs val="gap"/>
  </c:chart>
  <c:spPr>
    <a:noFill/>
    <a:ln w="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AU" sz="1800" spc="4" strike="noStrike">
                <a:solidFill>
                  <a:srgbClr val="595959"/>
                </a:solidFill>
                <a:latin typeface="Calibri"/>
                <a:ea typeface="Calibri"/>
              </a:defRPr>
            </a:pPr>
            <a:r>
              <a:rPr b="0" lang="en-AU" sz="1800" spc="4" strike="noStrike">
                <a:solidFill>
                  <a:srgbClr val="595959"/>
                </a:solidFill>
                <a:latin typeface="Calibri"/>
                <a:ea typeface="Calibri"/>
              </a:rPr>
              <a:t>Fate of Routed Carbon</a:t>
            </a:r>
          </a:p>
        </c:rich>
      </c:tx>
      <c:overlay val="0"/>
      <c:spPr>
        <a:noFill/>
        <a:ln w="0">
          <a:noFill/>
        </a:ln>
      </c:spPr>
    </c:title>
    <c:autoTitleDeleted val="0"/>
    <c:plotArea>
      <c:barChart>
        <c:barDir val="col"/>
        <c:grouping val="stacked"/>
        <c:varyColors val="0"/>
        <c:ser>
          <c:idx val="0"/>
          <c:order val="0"/>
          <c:tx>
            <c:strRef>
              <c:f>Scenarios!$N$6</c:f>
              <c:strCache>
                <c:ptCount val="1"/>
                <c:pt idx="0">
                  <c:v>Biomass</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Scenarios!$O$6,Scenarios!$S$6,Scenarios!$X$3,Scenarios!$Q$6,Scenarios!$U$6</c:f>
              <c:numCache>
                <c:formatCode>0</c:formatCode>
                <c:ptCount val="5"/>
                <c:pt idx="0">
                  <c:v>846.518458194458</c:v>
                </c:pt>
                <c:pt idx="1">
                  <c:v>847.1738937558</c:v>
                </c:pt>
                <c:pt idx="3">
                  <c:v>1459.36408783779</c:v>
                </c:pt>
                <c:pt idx="4">
                  <c:v>1379.49426479357</c:v>
                </c:pt>
              </c:numCache>
            </c:numRef>
          </c:val>
        </c:ser>
        <c:ser>
          <c:idx val="1"/>
          <c:order val="1"/>
          <c:tx>
            <c:strRef>
              <c:f>Scenarios!$N$7</c:f>
              <c:strCache>
                <c:ptCount val="1"/>
                <c:pt idx="0">
                  <c:v>CO₂e</c:v>
                </c:pt>
              </c:strCache>
            </c:strRef>
          </c:tx>
          <c:spPr>
            <a:solidFill>
              <a:srgbClr val="4bacc6"/>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Scenarios!$O$7,Scenarios!$S$7,Scenarios!$X$3,Scenarios!$Q$7,Scenarios!$U$7</c:f>
              <c:numCache>
                <c:formatCode>0</c:formatCode>
                <c:ptCount val="5"/>
                <c:pt idx="0">
                  <c:v>1075.67803284554</c:v>
                </c:pt>
                <c:pt idx="1">
                  <c:v>1075.0225972842</c:v>
                </c:pt>
                <c:pt idx="3">
                  <c:v>1572.68676064221</c:v>
                </c:pt>
                <c:pt idx="4">
                  <c:v>1652.55658368643</c:v>
                </c:pt>
              </c:numCache>
            </c:numRef>
          </c:val>
        </c:ser>
        <c:ser>
          <c:idx val="2"/>
          <c:order val="2"/>
          <c:tx>
            <c:strRef>
              <c:f>Scenarios!$N$8</c:f>
              <c:strCache>
                <c:ptCount val="1"/>
                <c:pt idx="0">
                  <c:v>Residual Solids</c:v>
                </c:pt>
              </c:strCache>
            </c:strRef>
          </c:tx>
          <c:spPr>
            <a:solidFill>
              <a:srgbClr val="9bbb59"/>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Scenarios!$O$8,Scenarios!$S$8,Scenarios!$X$3,Scenarios!$Q$8,Scenarios!$U$8</c:f>
              <c:numCache>
                <c:formatCode>0</c:formatCode>
                <c:ptCount val="5"/>
                <c:pt idx="0">
                  <c:v>73.43696496</c:v>
                </c:pt>
                <c:pt idx="1">
                  <c:v>73.43696496</c:v>
                </c:pt>
                <c:pt idx="3">
                  <c:v>273.91137552</c:v>
                </c:pt>
                <c:pt idx="4">
                  <c:v>273.91137552</c:v>
                </c:pt>
              </c:numCache>
            </c:numRef>
          </c:val>
        </c:ser>
        <c:ser>
          <c:idx val="3"/>
          <c:order val="3"/>
          <c:tx>
            <c:strRef>
              <c:f>Scenarios!$N$9</c:f>
              <c:strCache>
                <c:ptCount val="1"/>
                <c:pt idx="0">
                  <c:v>Remaining Plastics</c:v>
                </c:pt>
              </c:strCache>
            </c:strRef>
          </c:tx>
          <c:spPr>
            <a:solidFill>
              <a:srgbClr val="2c4d75"/>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Scenarios!$O$9,Scenarios!$S$9,Scenarios!$X$3,Scenarios!$Q$9,Scenarios!$U$9</c:f>
              <c:numCache>
                <c:formatCode>0</c:formatCode>
                <c:ptCount val="5"/>
                <c:pt idx="0">
                  <c:v>1474.119864</c:v>
                </c:pt>
                <c:pt idx="1">
                  <c:v>1474.119864</c:v>
                </c:pt>
                <c:pt idx="3">
                  <c:v>163.791096</c:v>
                </c:pt>
                <c:pt idx="4">
                  <c:v>163.791096</c:v>
                </c:pt>
              </c:numCache>
            </c:numRef>
          </c:val>
        </c:ser>
        <c:gapWidth val="50"/>
        <c:overlap val="100"/>
        <c:axId val="88737293"/>
        <c:axId val="65169955"/>
      </c:barChart>
      <c:catAx>
        <c:axId val="88737293"/>
        <c:scaling>
          <c:orientation val="minMax"/>
        </c:scaling>
        <c:delete val="0"/>
        <c:axPos val="b"/>
        <c:numFmt formatCode="General" sourceLinked="0"/>
        <c:majorTickMark val="none"/>
        <c:minorTickMark val="none"/>
        <c:tickLblPos val="nextTo"/>
        <c:spPr>
          <a:ln w="9360">
            <a:solidFill>
              <a:srgbClr val="bfbfbf"/>
            </a:solidFill>
            <a:round/>
          </a:ln>
        </c:spPr>
        <c:txPr>
          <a:bodyPr/>
          <a:lstStyle/>
          <a:p>
            <a:pPr>
              <a:defRPr b="1" sz="1000" spc="-1" strike="noStrike">
                <a:solidFill>
                  <a:srgbClr val="595959"/>
                </a:solidFill>
                <a:latin typeface="Calibri"/>
                <a:ea typeface="Calibri"/>
              </a:defRPr>
            </a:pPr>
          </a:p>
        </c:txPr>
        <c:crossAx val="65169955"/>
        <c:crosses val="autoZero"/>
        <c:auto val="1"/>
        <c:lblAlgn val="ctr"/>
        <c:lblOffset val="100"/>
        <c:noMultiLvlLbl val="0"/>
      </c:catAx>
      <c:valAx>
        <c:axId val="65169955"/>
        <c:scaling>
          <c:orientation val="minMax"/>
        </c:scaling>
        <c:delete val="0"/>
        <c:axPos val="l"/>
        <c:majorGridlines>
          <c:spPr>
            <a:ln w="6480">
              <a:solidFill>
                <a:srgbClr val="f2f2f2"/>
              </a:solidFill>
              <a:round/>
            </a:ln>
          </c:spPr>
        </c:majorGridlines>
        <c:title>
          <c:tx>
            <c:rich>
              <a:bodyPr rot="-5400000"/>
              <a:lstStyle/>
              <a:p>
                <a:pPr>
                  <a:defRPr b="1" lang="en-AU" sz="1200" spc="-1" strike="noStrike">
                    <a:solidFill>
                      <a:srgbClr val="595959"/>
                    </a:solidFill>
                    <a:latin typeface="Calibri"/>
                    <a:ea typeface="Calibri"/>
                  </a:defRPr>
                </a:pPr>
                <a:r>
                  <a:rPr b="1" lang="en-AU" sz="1200" spc="-1" strike="noStrike">
                    <a:solidFill>
                      <a:srgbClr val="595959"/>
                    </a:solidFill>
                    <a:latin typeface="Calibri"/>
                    <a:ea typeface="Calibri"/>
                  </a:rPr>
                  <a:t>Carbon [kgC/a]</a:t>
                </a:r>
              </a:p>
            </c:rich>
          </c:tx>
          <c:overlay val="0"/>
          <c:spPr>
            <a:noFill/>
            <a:ln w="0">
              <a:noFill/>
            </a:ln>
          </c:spPr>
        </c:title>
        <c:numFmt formatCode="0" sourceLinked="0"/>
        <c:majorTickMark val="none"/>
        <c:minorTickMark val="none"/>
        <c:tickLblPos val="nextTo"/>
        <c:spPr>
          <a:ln w="9360">
            <a:noFill/>
          </a:ln>
        </c:spPr>
        <c:txPr>
          <a:bodyPr/>
          <a:lstStyle/>
          <a:p>
            <a:pPr>
              <a:defRPr b="1" sz="1000" spc="-1" strike="noStrike">
                <a:solidFill>
                  <a:srgbClr val="595959"/>
                </a:solidFill>
                <a:latin typeface="Calibri"/>
                <a:ea typeface="Calibri"/>
              </a:defRPr>
            </a:pPr>
          </a:p>
        </c:txPr>
        <c:crossAx val="88737293"/>
        <c:crosses val="autoZero"/>
        <c:crossBetween val="between"/>
      </c:valAx>
      <c:spPr>
        <a:noFill/>
        <a:ln w="0">
          <a:noFill/>
        </a:ln>
      </c:spPr>
    </c:plotArea>
    <c:legend>
      <c:legendPos val="t"/>
      <c:overlay val="0"/>
      <c:spPr>
        <a:noFill/>
        <a:ln w="0">
          <a:noFill/>
        </a:ln>
      </c:spPr>
      <c:txPr>
        <a:bodyPr/>
        <a:lstStyle/>
        <a:p>
          <a:pPr>
            <a:defRPr b="1" sz="1200" spc="-1" strike="noStrike">
              <a:solidFill>
                <a:srgbClr val="595959"/>
              </a:solidFill>
              <a:latin typeface="Calibri"/>
              <a:ea typeface="Calibri"/>
            </a:defRPr>
          </a:pPr>
        </a:p>
      </c:txPr>
    </c:legend>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
</Relationships>
</file>

<file path=xl/drawings/_rels/drawing3.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chart" Target="../charts/chart12.xml"/><Relationship Id="rId6" Type="http://schemas.openxmlformats.org/officeDocument/2006/relationships/chart" Target="../charts/chart13.xml"/>
</Relationships>
</file>

<file path=xl/drawings/_rels/drawing4.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5" Type="http://schemas.openxmlformats.org/officeDocument/2006/relationships/chart" Target="../charts/chart18.xml"/><Relationship Id="rId6" Type="http://schemas.openxmlformats.org/officeDocument/2006/relationships/chart" Target="../charts/chart19.xml"/><Relationship Id="rId7" Type="http://schemas.openxmlformats.org/officeDocument/2006/relationships/chart" Target="../charts/chart20.xml"/><Relationship Id="rId8" Type="http://schemas.openxmlformats.org/officeDocument/2006/relationships/chart" Target="../charts/chart21.xml"/><Relationship Id="rId9" Type="http://schemas.openxmlformats.org/officeDocument/2006/relationships/chart" Target="../charts/chart22.xml"/><Relationship Id="rId10" Type="http://schemas.openxmlformats.org/officeDocument/2006/relationships/chart" Target="../charts/chart23.xml"/><Relationship Id="rId11" Type="http://schemas.openxmlformats.org/officeDocument/2006/relationships/chart" Target="../charts/chart24.xml"/><Relationship Id="rId12" Type="http://schemas.openxmlformats.org/officeDocument/2006/relationships/chart" Target="../charts/chart2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3</xdr:col>
      <xdr:colOff>2138400</xdr:colOff>
      <xdr:row>36</xdr:row>
      <xdr:rowOff>178200</xdr:rowOff>
    </xdr:to>
    <xdr:graphicFrame>
      <xdr:nvGraphicFramePr>
        <xdr:cNvPr id="0" name="Chart 1"/>
        <xdr:cNvGraphicFramePr/>
      </xdr:nvGraphicFramePr>
      <xdr:xfrm>
        <a:off x="0" y="2181240"/>
        <a:ext cx="4636440" cy="4521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30</xdr:row>
      <xdr:rowOff>0</xdr:rowOff>
    </xdr:from>
    <xdr:to>
      <xdr:col>5</xdr:col>
      <xdr:colOff>213120</xdr:colOff>
      <xdr:row>54</xdr:row>
      <xdr:rowOff>174960</xdr:rowOff>
    </xdr:to>
    <xdr:graphicFrame>
      <xdr:nvGraphicFramePr>
        <xdr:cNvPr id="1" name="Chart 1"/>
        <xdr:cNvGraphicFramePr/>
      </xdr:nvGraphicFramePr>
      <xdr:xfrm>
        <a:off x="5340960" y="5448240"/>
        <a:ext cx="4613040" cy="4518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30</xdr:row>
      <xdr:rowOff>0</xdr:rowOff>
    </xdr:from>
    <xdr:to>
      <xdr:col>8</xdr:col>
      <xdr:colOff>1159200</xdr:colOff>
      <xdr:row>54</xdr:row>
      <xdr:rowOff>174960</xdr:rowOff>
    </xdr:to>
    <xdr:graphicFrame>
      <xdr:nvGraphicFramePr>
        <xdr:cNvPr id="2" name="Chart 2"/>
        <xdr:cNvGraphicFramePr/>
      </xdr:nvGraphicFramePr>
      <xdr:xfrm>
        <a:off x="9740880" y="5448240"/>
        <a:ext cx="4604040" cy="4518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55</xdr:row>
      <xdr:rowOff>0</xdr:rowOff>
    </xdr:from>
    <xdr:to>
      <xdr:col>5</xdr:col>
      <xdr:colOff>213120</xdr:colOff>
      <xdr:row>79</xdr:row>
      <xdr:rowOff>149400</xdr:rowOff>
    </xdr:to>
    <xdr:graphicFrame>
      <xdr:nvGraphicFramePr>
        <xdr:cNvPr id="3" name="Chart 3"/>
        <xdr:cNvGraphicFramePr/>
      </xdr:nvGraphicFramePr>
      <xdr:xfrm>
        <a:off x="5340960" y="9972720"/>
        <a:ext cx="4613040" cy="4492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55</xdr:row>
      <xdr:rowOff>0</xdr:rowOff>
    </xdr:from>
    <xdr:to>
      <xdr:col>8</xdr:col>
      <xdr:colOff>1159200</xdr:colOff>
      <xdr:row>79</xdr:row>
      <xdr:rowOff>149400</xdr:rowOff>
    </xdr:to>
    <xdr:graphicFrame>
      <xdr:nvGraphicFramePr>
        <xdr:cNvPr id="4" name="Chart 4"/>
        <xdr:cNvGraphicFramePr/>
      </xdr:nvGraphicFramePr>
      <xdr:xfrm>
        <a:off x="9740880" y="9972720"/>
        <a:ext cx="4604040" cy="44928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30</xdr:row>
      <xdr:rowOff>0</xdr:rowOff>
    </xdr:from>
    <xdr:to>
      <xdr:col>10</xdr:col>
      <xdr:colOff>3661200</xdr:colOff>
      <xdr:row>54</xdr:row>
      <xdr:rowOff>174960</xdr:rowOff>
    </xdr:to>
    <xdr:graphicFrame>
      <xdr:nvGraphicFramePr>
        <xdr:cNvPr id="5" name="Chart 5"/>
        <xdr:cNvGraphicFramePr/>
      </xdr:nvGraphicFramePr>
      <xdr:xfrm>
        <a:off x="15072480" y="5448240"/>
        <a:ext cx="4577400" cy="45183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55</xdr:row>
      <xdr:rowOff>0</xdr:rowOff>
    </xdr:from>
    <xdr:to>
      <xdr:col>10</xdr:col>
      <xdr:colOff>3661200</xdr:colOff>
      <xdr:row>79</xdr:row>
      <xdr:rowOff>149400</xdr:rowOff>
    </xdr:to>
    <xdr:graphicFrame>
      <xdr:nvGraphicFramePr>
        <xdr:cNvPr id="6" name="Chart 6"/>
        <xdr:cNvGraphicFramePr/>
      </xdr:nvGraphicFramePr>
      <xdr:xfrm>
        <a:off x="15072480" y="9972720"/>
        <a:ext cx="4577400" cy="44928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30</xdr:row>
      <xdr:rowOff>0</xdr:rowOff>
    </xdr:from>
    <xdr:to>
      <xdr:col>5</xdr:col>
      <xdr:colOff>167400</xdr:colOff>
      <xdr:row>54</xdr:row>
      <xdr:rowOff>149400</xdr:rowOff>
    </xdr:to>
    <xdr:graphicFrame>
      <xdr:nvGraphicFramePr>
        <xdr:cNvPr id="7" name="Chart 1"/>
        <xdr:cNvGraphicFramePr/>
      </xdr:nvGraphicFramePr>
      <xdr:xfrm>
        <a:off x="5034960" y="5448240"/>
        <a:ext cx="4605840" cy="4492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30</xdr:row>
      <xdr:rowOff>0</xdr:rowOff>
    </xdr:from>
    <xdr:to>
      <xdr:col>8</xdr:col>
      <xdr:colOff>1159200</xdr:colOff>
      <xdr:row>54</xdr:row>
      <xdr:rowOff>149400</xdr:rowOff>
    </xdr:to>
    <xdr:graphicFrame>
      <xdr:nvGraphicFramePr>
        <xdr:cNvPr id="8" name="Chart 2"/>
        <xdr:cNvGraphicFramePr/>
      </xdr:nvGraphicFramePr>
      <xdr:xfrm>
        <a:off x="9473400" y="5448240"/>
        <a:ext cx="4604400" cy="4492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30</xdr:row>
      <xdr:rowOff>0</xdr:rowOff>
    </xdr:from>
    <xdr:to>
      <xdr:col>10</xdr:col>
      <xdr:colOff>3664800</xdr:colOff>
      <xdr:row>54</xdr:row>
      <xdr:rowOff>149400</xdr:rowOff>
    </xdr:to>
    <xdr:graphicFrame>
      <xdr:nvGraphicFramePr>
        <xdr:cNvPr id="9" name="Chart 3"/>
        <xdr:cNvGraphicFramePr/>
      </xdr:nvGraphicFramePr>
      <xdr:xfrm>
        <a:off x="14805000" y="5448240"/>
        <a:ext cx="4581000" cy="4492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55</xdr:row>
      <xdr:rowOff>0</xdr:rowOff>
    </xdr:from>
    <xdr:to>
      <xdr:col>10</xdr:col>
      <xdr:colOff>3664800</xdr:colOff>
      <xdr:row>79</xdr:row>
      <xdr:rowOff>149400</xdr:rowOff>
    </xdr:to>
    <xdr:graphicFrame>
      <xdr:nvGraphicFramePr>
        <xdr:cNvPr id="10" name="Chart 4"/>
        <xdr:cNvGraphicFramePr/>
      </xdr:nvGraphicFramePr>
      <xdr:xfrm>
        <a:off x="14805000" y="9972720"/>
        <a:ext cx="4581000" cy="44928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55</xdr:row>
      <xdr:rowOff>0</xdr:rowOff>
    </xdr:from>
    <xdr:to>
      <xdr:col>8</xdr:col>
      <xdr:colOff>1159200</xdr:colOff>
      <xdr:row>79</xdr:row>
      <xdr:rowOff>149400</xdr:rowOff>
    </xdr:to>
    <xdr:graphicFrame>
      <xdr:nvGraphicFramePr>
        <xdr:cNvPr id="11" name="Chart 5"/>
        <xdr:cNvGraphicFramePr/>
      </xdr:nvGraphicFramePr>
      <xdr:xfrm>
        <a:off x="9473400" y="9972720"/>
        <a:ext cx="4604400" cy="44928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0</xdr:colOff>
      <xdr:row>55</xdr:row>
      <xdr:rowOff>0</xdr:rowOff>
    </xdr:from>
    <xdr:to>
      <xdr:col>5</xdr:col>
      <xdr:colOff>167400</xdr:colOff>
      <xdr:row>79</xdr:row>
      <xdr:rowOff>149400</xdr:rowOff>
    </xdr:to>
    <xdr:graphicFrame>
      <xdr:nvGraphicFramePr>
        <xdr:cNvPr id="12" name="Chart 6"/>
        <xdr:cNvGraphicFramePr/>
      </xdr:nvGraphicFramePr>
      <xdr:xfrm>
        <a:off x="5034960" y="9972720"/>
        <a:ext cx="4605840" cy="44928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22</xdr:row>
      <xdr:rowOff>0</xdr:rowOff>
    </xdr:from>
    <xdr:to>
      <xdr:col>12</xdr:col>
      <xdr:colOff>16200</xdr:colOff>
      <xdr:row>46</xdr:row>
      <xdr:rowOff>149400</xdr:rowOff>
    </xdr:to>
    <xdr:graphicFrame>
      <xdr:nvGraphicFramePr>
        <xdr:cNvPr id="13" name="Chart 1"/>
        <xdr:cNvGraphicFramePr/>
      </xdr:nvGraphicFramePr>
      <xdr:xfrm>
        <a:off x="9109800" y="3990960"/>
        <a:ext cx="4611600" cy="4492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22</xdr:row>
      <xdr:rowOff>0</xdr:rowOff>
    </xdr:from>
    <xdr:to>
      <xdr:col>9</xdr:col>
      <xdr:colOff>98640</xdr:colOff>
      <xdr:row>46</xdr:row>
      <xdr:rowOff>149400</xdr:rowOff>
    </xdr:to>
    <xdr:graphicFrame>
      <xdr:nvGraphicFramePr>
        <xdr:cNvPr id="14" name="Chart 2"/>
        <xdr:cNvGraphicFramePr/>
      </xdr:nvGraphicFramePr>
      <xdr:xfrm>
        <a:off x="4595040" y="3990960"/>
        <a:ext cx="4613400" cy="4492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47</xdr:row>
      <xdr:rowOff>0</xdr:rowOff>
    </xdr:from>
    <xdr:to>
      <xdr:col>9</xdr:col>
      <xdr:colOff>98640</xdr:colOff>
      <xdr:row>71</xdr:row>
      <xdr:rowOff>149400</xdr:rowOff>
    </xdr:to>
    <xdr:graphicFrame>
      <xdr:nvGraphicFramePr>
        <xdr:cNvPr id="15" name="Chart 3"/>
        <xdr:cNvGraphicFramePr/>
      </xdr:nvGraphicFramePr>
      <xdr:xfrm>
        <a:off x="4595040" y="8515440"/>
        <a:ext cx="4613400" cy="4492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47</xdr:row>
      <xdr:rowOff>0</xdr:rowOff>
    </xdr:from>
    <xdr:to>
      <xdr:col>12</xdr:col>
      <xdr:colOff>16200</xdr:colOff>
      <xdr:row>71</xdr:row>
      <xdr:rowOff>149400</xdr:rowOff>
    </xdr:to>
    <xdr:graphicFrame>
      <xdr:nvGraphicFramePr>
        <xdr:cNvPr id="16" name="Chart 4"/>
        <xdr:cNvGraphicFramePr/>
      </xdr:nvGraphicFramePr>
      <xdr:xfrm>
        <a:off x="9109800" y="8515440"/>
        <a:ext cx="4611600" cy="44928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0</xdr:colOff>
      <xdr:row>72</xdr:row>
      <xdr:rowOff>0</xdr:rowOff>
    </xdr:from>
    <xdr:to>
      <xdr:col>9</xdr:col>
      <xdr:colOff>98640</xdr:colOff>
      <xdr:row>96</xdr:row>
      <xdr:rowOff>149400</xdr:rowOff>
    </xdr:to>
    <xdr:graphicFrame>
      <xdr:nvGraphicFramePr>
        <xdr:cNvPr id="17" name="Chart 5"/>
        <xdr:cNvGraphicFramePr/>
      </xdr:nvGraphicFramePr>
      <xdr:xfrm>
        <a:off x="4595040" y="13039560"/>
        <a:ext cx="4613400" cy="44928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72</xdr:row>
      <xdr:rowOff>0</xdr:rowOff>
    </xdr:from>
    <xdr:to>
      <xdr:col>12</xdr:col>
      <xdr:colOff>16200</xdr:colOff>
      <xdr:row>96</xdr:row>
      <xdr:rowOff>149400</xdr:rowOff>
    </xdr:to>
    <xdr:graphicFrame>
      <xdr:nvGraphicFramePr>
        <xdr:cNvPr id="18" name="Chart 6"/>
        <xdr:cNvGraphicFramePr/>
      </xdr:nvGraphicFramePr>
      <xdr:xfrm>
        <a:off x="9109800" y="13039560"/>
        <a:ext cx="4611600" cy="44928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0</xdr:colOff>
      <xdr:row>97</xdr:row>
      <xdr:rowOff>0</xdr:rowOff>
    </xdr:from>
    <xdr:to>
      <xdr:col>9</xdr:col>
      <xdr:colOff>98640</xdr:colOff>
      <xdr:row>121</xdr:row>
      <xdr:rowOff>149400</xdr:rowOff>
    </xdr:to>
    <xdr:graphicFrame>
      <xdr:nvGraphicFramePr>
        <xdr:cNvPr id="19" name="Chart 7"/>
        <xdr:cNvGraphicFramePr/>
      </xdr:nvGraphicFramePr>
      <xdr:xfrm>
        <a:off x="4595040" y="17564040"/>
        <a:ext cx="4613400" cy="44928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0</xdr:colOff>
      <xdr:row>97</xdr:row>
      <xdr:rowOff>0</xdr:rowOff>
    </xdr:from>
    <xdr:to>
      <xdr:col>12</xdr:col>
      <xdr:colOff>16200</xdr:colOff>
      <xdr:row>121</xdr:row>
      <xdr:rowOff>149400</xdr:rowOff>
    </xdr:to>
    <xdr:graphicFrame>
      <xdr:nvGraphicFramePr>
        <xdr:cNvPr id="20" name="Chart 8"/>
        <xdr:cNvGraphicFramePr/>
      </xdr:nvGraphicFramePr>
      <xdr:xfrm>
        <a:off x="9109800" y="17564040"/>
        <a:ext cx="4611600" cy="44928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22</xdr:row>
      <xdr:rowOff>0</xdr:rowOff>
    </xdr:from>
    <xdr:to>
      <xdr:col>3</xdr:col>
      <xdr:colOff>22680</xdr:colOff>
      <xdr:row>46</xdr:row>
      <xdr:rowOff>149400</xdr:rowOff>
    </xdr:to>
    <xdr:graphicFrame>
      <xdr:nvGraphicFramePr>
        <xdr:cNvPr id="21" name="Chart 9"/>
        <xdr:cNvGraphicFramePr/>
      </xdr:nvGraphicFramePr>
      <xdr:xfrm>
        <a:off x="0" y="3990960"/>
        <a:ext cx="4617720" cy="44928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47</xdr:row>
      <xdr:rowOff>0</xdr:rowOff>
    </xdr:from>
    <xdr:to>
      <xdr:col>3</xdr:col>
      <xdr:colOff>22680</xdr:colOff>
      <xdr:row>71</xdr:row>
      <xdr:rowOff>149400</xdr:rowOff>
    </xdr:to>
    <xdr:graphicFrame>
      <xdr:nvGraphicFramePr>
        <xdr:cNvPr id="22" name="Chart 10"/>
        <xdr:cNvGraphicFramePr/>
      </xdr:nvGraphicFramePr>
      <xdr:xfrm>
        <a:off x="0" y="8515440"/>
        <a:ext cx="4617720" cy="44928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72</xdr:row>
      <xdr:rowOff>0</xdr:rowOff>
    </xdr:from>
    <xdr:to>
      <xdr:col>3</xdr:col>
      <xdr:colOff>22680</xdr:colOff>
      <xdr:row>96</xdr:row>
      <xdr:rowOff>149400</xdr:rowOff>
    </xdr:to>
    <xdr:graphicFrame>
      <xdr:nvGraphicFramePr>
        <xdr:cNvPr id="23" name="Chart 11"/>
        <xdr:cNvGraphicFramePr/>
      </xdr:nvGraphicFramePr>
      <xdr:xfrm>
        <a:off x="0" y="13039560"/>
        <a:ext cx="4617720" cy="44928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0</xdr:colOff>
      <xdr:row>13</xdr:row>
      <xdr:rowOff>0</xdr:rowOff>
    </xdr:from>
    <xdr:to>
      <xdr:col>23</xdr:col>
      <xdr:colOff>28800</xdr:colOff>
      <xdr:row>37</xdr:row>
      <xdr:rowOff>149400</xdr:rowOff>
    </xdr:to>
    <xdr:graphicFrame>
      <xdr:nvGraphicFramePr>
        <xdr:cNvPr id="24" name="Chart 12"/>
        <xdr:cNvGraphicFramePr/>
      </xdr:nvGraphicFramePr>
      <xdr:xfrm>
        <a:off x="14322600" y="2362320"/>
        <a:ext cx="4612680" cy="44928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henrys-law.org/henry/casrn/7782-44-7%20%7C%20van&apos;t%20Hoff%20to%20T_op;%201500%20K%20(Sander%202023)" TargetMode="External"/><Relationship Id="rId2" Type="http://schemas.openxmlformats.org/officeDocument/2006/relationships/hyperlink" Target="https://henrys-law.org/henry/casrn/1333-74-0%20%7C%20van&apos;t%20Hoff%20to%20T_op;%20530%20K%20(Sander%202023)" TargetMode="External"/><Relationship Id="rId3" Type="http://schemas.openxmlformats.org/officeDocument/2006/relationships/hyperlink" Target="https://henrys-law.org/henry/casrn/74-82-8%20%7C%20van&apos;t%20Hoff%20to%20T_op;%201600%20K%20(Sander%202023)" TargetMode="External"/><Relationship Id="rId4" Type="http://schemas.openxmlformats.org/officeDocument/2006/relationships/hyperlink" Target="https://henrys-law.org/henry/casrn/630-08-0%20%7C%20van&apos;t%20Hoff%20to%20T_op;%201300%20K%20(Sander%202023)" TargetMode="External"/><Relationship Id="rId5" Type="http://schemas.openxmlformats.org/officeDocument/2006/relationships/hyperlink" Target="https://henrys-law.org/henry/casrn/124-38-9"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6" activeCellId="0" sqref="A6"/>
    </sheetView>
  </sheetViews>
  <sheetFormatPr defaultColWidth="8.7578125" defaultRowHeight="14.25" zeroHeight="false" outlineLevelRow="0" outlineLevelCol="0"/>
  <cols>
    <col collapsed="false" customWidth="true" hidden="false" outlineLevel="0" max="1" min="1" style="1" width="20.88"/>
    <col collapsed="false" customWidth="true" hidden="false" outlineLevel="0" max="2" min="2" style="1" width="128.67"/>
    <col collapsed="false" customWidth="false" hidden="false" outlineLevel="0" max="16384" min="3" style="1" width="8.76"/>
  </cols>
  <sheetData>
    <row r="1" customFormat="false" ht="27.75" hidden="false" customHeight="true" outlineLevel="0" collapsed="false">
      <c r="A1" s="2" t="s">
        <v>0</v>
      </c>
      <c r="B1" s="3" t="s">
        <v>1</v>
      </c>
    </row>
    <row r="2" customFormat="false" ht="27.75" hidden="false" customHeight="true" outlineLevel="0" collapsed="false">
      <c r="A2" s="4" t="s">
        <v>2</v>
      </c>
      <c r="B2" s="5" t="s">
        <v>3</v>
      </c>
    </row>
    <row r="3" customFormat="false" ht="41.25" hidden="false" customHeight="true" outlineLevel="0" collapsed="false">
      <c r="A3" s="4" t="s">
        <v>4</v>
      </c>
      <c r="B3" s="5" t="s">
        <v>5</v>
      </c>
    </row>
    <row r="4" customFormat="false" ht="54.75" hidden="false" customHeight="true" outlineLevel="0" collapsed="false">
      <c r="A4" s="4" t="s">
        <v>6</v>
      </c>
      <c r="B4" s="5" t="s">
        <v>7</v>
      </c>
    </row>
    <row r="5" customFormat="false" ht="54.75" hidden="false" customHeight="true" outlineLevel="0" collapsed="false">
      <c r="A5" s="4" t="s">
        <v>8</v>
      </c>
      <c r="B5" s="5" t="s">
        <v>9</v>
      </c>
    </row>
    <row r="6" customFormat="false" ht="14.25" hidden="false" customHeight="true" outlineLevel="0" collapsed="false">
      <c r="A6" s="6"/>
    </row>
    <row r="7" customFormat="false" ht="14.25" hidden="false" customHeight="true" outlineLevel="0" collapsed="false">
      <c r="A7" s="6" t="s">
        <v>10</v>
      </c>
    </row>
    <row r="8" customFormat="false" ht="14.25" hidden="false" customHeight="true" outlineLevel="0" collapsed="false">
      <c r="A8" s="6" t="s">
        <v>11</v>
      </c>
    </row>
    <row r="10" customFormat="false" ht="28.35" hidden="false" customHeight="false" outlineLevel="0" collapsed="false">
      <c r="A10" s="7" t="s">
        <v>12</v>
      </c>
      <c r="B10" s="8" t="s">
        <v>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40.5625" defaultRowHeight="14.25" zeroHeight="false" outlineLevelRow="0" outlineLevelCol="0"/>
  <cols>
    <col collapsed="false" customWidth="true" hidden="false" outlineLevel="0" max="1" min="1" style="6" width="18"/>
    <col collapsed="false" customWidth="true" hidden="false" outlineLevel="0" max="2" min="2" style="6" width="10"/>
    <col collapsed="false" customWidth="true" hidden="false" outlineLevel="0" max="3" min="3" style="6" width="13.75"/>
    <col collapsed="false" customWidth="true" hidden="false" outlineLevel="0" max="4" min="4" style="6" width="76.44"/>
    <col collapsed="false" customWidth="true" hidden="false" outlineLevel="0" max="6" min="5" style="6" width="11.89"/>
    <col collapsed="false" customWidth="false" hidden="false" outlineLevel="0" max="16384" min="7" style="6" width="40.56"/>
  </cols>
  <sheetData>
    <row r="1" customFormat="false" ht="14.25" hidden="false" customHeight="true" outlineLevel="0" collapsed="false">
      <c r="A1" s="9" t="s">
        <v>14</v>
      </c>
      <c r="B1" s="10" t="s">
        <v>15</v>
      </c>
      <c r="C1" s="10" t="s">
        <v>16</v>
      </c>
      <c r="D1" s="11" t="s">
        <v>17</v>
      </c>
      <c r="E1" s="9" t="s">
        <v>18</v>
      </c>
      <c r="F1" s="9" t="s">
        <v>19</v>
      </c>
    </row>
    <row r="2" customFormat="false" ht="14.25" hidden="false" customHeight="true" outlineLevel="0" collapsed="false">
      <c r="A2" s="12" t="s">
        <v>20</v>
      </c>
      <c r="B2" s="13" t="n">
        <v>298.15</v>
      </c>
      <c r="C2" s="14" t="s">
        <v>21</v>
      </c>
      <c r="D2" s="15" t="s">
        <v>22</v>
      </c>
      <c r="E2" s="16"/>
      <c r="F2" s="16"/>
    </row>
    <row r="3" customFormat="false" ht="14.25" hidden="false" customHeight="true" outlineLevel="0" collapsed="false">
      <c r="A3" s="12" t="s">
        <v>23</v>
      </c>
      <c r="B3" s="17" t="n">
        <v>101325</v>
      </c>
      <c r="C3" s="14" t="s">
        <v>24</v>
      </c>
      <c r="D3" s="15" t="s">
        <v>25</v>
      </c>
      <c r="E3" s="16"/>
      <c r="F3" s="16"/>
    </row>
    <row r="4" customFormat="false" ht="14.25" hidden="false" customHeight="true" outlineLevel="0" collapsed="false">
      <c r="A4" s="12" t="s">
        <v>26</v>
      </c>
      <c r="B4" s="17" t="n">
        <v>1000</v>
      </c>
      <c r="C4" s="14" t="s">
        <v>27</v>
      </c>
      <c r="D4" s="15" t="s">
        <v>25</v>
      </c>
      <c r="E4" s="16"/>
      <c r="F4" s="16"/>
    </row>
    <row r="5" customFormat="false" ht="14.25" hidden="false" customHeight="true" outlineLevel="0" collapsed="false">
      <c r="A5" s="12" t="s">
        <v>28</v>
      </c>
      <c r="B5" s="17" t="n">
        <v>24</v>
      </c>
      <c r="C5" s="14" t="s">
        <v>29</v>
      </c>
      <c r="D5" s="15" t="s">
        <v>25</v>
      </c>
      <c r="E5" s="16"/>
      <c r="F5" s="16"/>
    </row>
    <row r="6" customFormat="false" ht="14.25" hidden="false" customHeight="true" outlineLevel="0" collapsed="false">
      <c r="A6" s="12" t="s">
        <v>30</v>
      </c>
      <c r="B6" s="17" t="n">
        <v>365</v>
      </c>
      <c r="C6" s="14" t="s">
        <v>31</v>
      </c>
      <c r="D6" s="15" t="s">
        <v>25</v>
      </c>
      <c r="E6" s="16"/>
      <c r="F6" s="16"/>
    </row>
    <row r="7" customFormat="false" ht="14.25" hidden="false" customHeight="true" outlineLevel="0" collapsed="false">
      <c r="A7" s="12" t="s">
        <v>32</v>
      </c>
      <c r="B7" s="18" t="n">
        <v>12.011</v>
      </c>
      <c r="C7" s="14" t="s">
        <v>33</v>
      </c>
      <c r="D7" s="15" t="s">
        <v>34</v>
      </c>
      <c r="E7" s="16"/>
      <c r="F7" s="16"/>
    </row>
    <row r="8" customFormat="false" ht="14.25" hidden="false" customHeight="true" outlineLevel="0" collapsed="false">
      <c r="A8" s="12" t="s">
        <v>35</v>
      </c>
      <c r="B8" s="13" t="n">
        <v>0.5</v>
      </c>
      <c r="C8" s="14" t="s">
        <v>36</v>
      </c>
      <c r="D8" s="15" t="s">
        <v>37</v>
      </c>
      <c r="E8" s="16"/>
      <c r="F8" s="16"/>
    </row>
    <row r="9" customFormat="false" ht="14.25" hidden="false" customHeight="true" outlineLevel="0" collapsed="false">
      <c r="A9" s="12" t="s">
        <v>38</v>
      </c>
      <c r="B9" s="18" t="n">
        <v>0.444</v>
      </c>
      <c r="C9" s="14" t="s">
        <v>39</v>
      </c>
      <c r="D9" s="15" t="s">
        <v>40</v>
      </c>
      <c r="E9" s="16"/>
      <c r="F9" s="16"/>
    </row>
    <row r="10" customFormat="false" ht="14.25" hidden="false" customHeight="true" outlineLevel="0" collapsed="false">
      <c r="A10" s="12" t="s">
        <v>41</v>
      </c>
      <c r="B10" s="18" t="n">
        <v>0.625</v>
      </c>
      <c r="C10" s="14" t="s">
        <v>42</v>
      </c>
      <c r="D10" s="15" t="s">
        <v>43</v>
      </c>
      <c r="E10" s="16"/>
      <c r="F10" s="16"/>
    </row>
    <row r="11" customFormat="false" ht="14.25" hidden="false" customHeight="true" outlineLevel="0" collapsed="false">
      <c r="A11" s="12" t="s">
        <v>44</v>
      </c>
      <c r="B11" s="19" t="n">
        <f aca="false">E11*EXP($F11*(1/Parameters!$C$39-1/$B$2))</f>
        <v>1.19648146169132E-005</v>
      </c>
      <c r="C11" s="14" t="s">
        <v>45</v>
      </c>
      <c r="D11" s="20" t="s">
        <v>46</v>
      </c>
      <c r="E11" s="19" t="n">
        <v>1.3E-005</v>
      </c>
      <c r="F11" s="17" t="n">
        <v>1500</v>
      </c>
    </row>
    <row r="12" customFormat="false" ht="14.25" hidden="false" customHeight="true" outlineLevel="0" collapsed="false">
      <c r="A12" s="12" t="s">
        <v>47</v>
      </c>
      <c r="B12" s="19" t="n">
        <f aca="false">E12*EXP($F12*(1/Parameters!$C$39-1/$B$2))</f>
        <v>7.5746295135334E-006</v>
      </c>
      <c r="C12" s="14" t="s">
        <v>45</v>
      </c>
      <c r="D12" s="20" t="s">
        <v>48</v>
      </c>
      <c r="E12" s="19" t="n">
        <v>7.8E-006</v>
      </c>
      <c r="F12" s="17" t="n">
        <v>530</v>
      </c>
    </row>
    <row r="13" customFormat="false" ht="14.25" hidden="false" customHeight="true" outlineLevel="0" collapsed="false">
      <c r="A13" s="12" t="s">
        <v>49</v>
      </c>
      <c r="B13" s="19" t="n">
        <f aca="false">E13*EXP($F13*(1/Parameters!$C$39-1/$B$2))</f>
        <v>1.28141016717576E-005</v>
      </c>
      <c r="C13" s="14" t="s">
        <v>45</v>
      </c>
      <c r="D13" s="20" t="s">
        <v>50</v>
      </c>
      <c r="E13" s="19" t="n">
        <v>1.4E-005</v>
      </c>
      <c r="F13" s="17" t="n">
        <v>1600</v>
      </c>
    </row>
    <row r="14" customFormat="false" ht="14.25" hidden="false" customHeight="true" outlineLevel="0" collapsed="false">
      <c r="A14" s="12" t="s">
        <v>51</v>
      </c>
      <c r="B14" s="19" t="n">
        <f aca="false">E14*EXP($F14*(1/Parameters!$C$39-1/$B$2))</f>
        <v>9.0269147240633E-006</v>
      </c>
      <c r="C14" s="14" t="s">
        <v>45</v>
      </c>
      <c r="D14" s="20" t="s">
        <v>52</v>
      </c>
      <c r="E14" s="19" t="n">
        <v>9.7E-006</v>
      </c>
      <c r="F14" s="17" t="n">
        <v>1300</v>
      </c>
    </row>
    <row r="15" customFormat="false" ht="14.25" hidden="false" customHeight="true" outlineLevel="0" collapsed="false">
      <c r="A15" s="21" t="s">
        <v>53</v>
      </c>
      <c r="B15" s="22" t="n">
        <f aca="false">E15*EXP($F15*(1/Parameters!$C$39-1/$B$2))</f>
        <v>0.000297727610450239</v>
      </c>
      <c r="C15" s="23" t="s">
        <v>45</v>
      </c>
      <c r="D15" s="24" t="s">
        <v>54</v>
      </c>
      <c r="E15" s="22" t="n">
        <v>0.00034</v>
      </c>
      <c r="F15" s="25" t="n">
        <v>2400</v>
      </c>
    </row>
  </sheetData>
  <mergeCells count="1">
    <mergeCell ref="E2:F10"/>
  </mergeCells>
  <hyperlinks>
    <hyperlink ref="D11" r:id="rId1" display="https://henrys-law.org/henry/casrn/7782-44-7 | van't Hoff to T_op; 1500 K (Sander 2023)"/>
    <hyperlink ref="D12" r:id="rId2" display="https://henrys-law.org/henry/casrn/1333-74-0 | van't Hoff to T_op; 530 K (Sander 2023)"/>
    <hyperlink ref="D13" r:id="rId3" display="https://henrys-law.org/henry/casrn/74-82-8 | van't Hoff to T_op; 1600 K (Sander 2023)"/>
    <hyperlink ref="D14" r:id="rId4" display="https://henrys-law.org/henry/casrn/630-08-0 | van't Hoff to T_op; 1300 K (Sander 2023)"/>
    <hyperlink ref="D15" r:id="rId5" display="https://henrys-law.org/henry/casrn/124-38-9 | van't Hoff to T_op; 2400 K (Sander 202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7578125" defaultRowHeight="14.25" zeroHeight="false" outlineLevelRow="0" outlineLevelCol="0"/>
  <cols>
    <col collapsed="false" customWidth="true" hidden="false" outlineLevel="0" max="1" min="1" style="6" width="13.56"/>
    <col collapsed="false" customWidth="true" hidden="false" outlineLevel="0" max="2" min="2" style="6" width="14.44"/>
    <col collapsed="false" customWidth="true" hidden="false" outlineLevel="0" max="3" min="3" style="6" width="7.44"/>
    <col collapsed="false" customWidth="true" hidden="false" outlineLevel="0" max="4" min="4" style="6" width="36.56"/>
    <col collapsed="false" customWidth="false" hidden="false" outlineLevel="0" max="16384" min="5" style="6" width="8.76"/>
  </cols>
  <sheetData>
    <row r="1" customFormat="false" ht="15" hidden="false" customHeight="true" outlineLevel="0" collapsed="false">
      <c r="A1" s="26" t="s">
        <v>55</v>
      </c>
      <c r="B1" s="26"/>
      <c r="C1" s="26"/>
      <c r="D1" s="26"/>
    </row>
    <row r="2" customFormat="false" ht="14.25" hidden="false" customHeight="true" outlineLevel="0" collapsed="false">
      <c r="A2" s="12" t="s">
        <v>56</v>
      </c>
      <c r="B2" s="27" t="n">
        <v>5.29</v>
      </c>
      <c r="C2" s="28" t="n">
        <f aca="false">B2</f>
        <v>5.29</v>
      </c>
      <c r="D2" s="29" t="s">
        <v>57</v>
      </c>
    </row>
    <row r="3" customFormat="false" ht="14.25" hidden="false" customHeight="true" outlineLevel="0" collapsed="false">
      <c r="A3" s="12" t="s">
        <v>58</v>
      </c>
      <c r="B3" s="30" t="n">
        <v>0</v>
      </c>
      <c r="C3" s="28" t="n">
        <f aca="false">(1-B3)*Constants!B6</f>
        <v>365</v>
      </c>
      <c r="D3" s="29" t="s">
        <v>59</v>
      </c>
    </row>
    <row r="4" customFormat="false" ht="14.25" hidden="false" customHeight="true" outlineLevel="0" collapsed="false">
      <c r="A4" s="31"/>
      <c r="B4" s="31"/>
      <c r="C4" s="31"/>
      <c r="D4" s="31"/>
    </row>
    <row r="5" customFormat="false" ht="14.25" hidden="false" customHeight="true" outlineLevel="0" collapsed="false">
      <c r="A5" s="32" t="s">
        <v>60</v>
      </c>
      <c r="B5" s="33" t="s">
        <v>61</v>
      </c>
      <c r="C5" s="33" t="s">
        <v>62</v>
      </c>
      <c r="D5" s="34" t="s">
        <v>63</v>
      </c>
    </row>
    <row r="6" customFormat="false" ht="14.25" hidden="false" customHeight="true" outlineLevel="0" collapsed="false">
      <c r="A6" s="12" t="s">
        <v>64</v>
      </c>
      <c r="B6" s="27" t="n">
        <v>107.5</v>
      </c>
      <c r="C6" s="28" t="n">
        <f aca="false">B6*$B$2</f>
        <v>568.675</v>
      </c>
      <c r="D6" s="29" t="s">
        <v>65</v>
      </c>
    </row>
    <row r="7" customFormat="false" ht="14.25" hidden="false" customHeight="true" outlineLevel="0" collapsed="false">
      <c r="A7" s="12" t="s">
        <v>66</v>
      </c>
      <c r="B7" s="27" t="n">
        <v>64.8</v>
      </c>
      <c r="C7" s="28" t="n">
        <f aca="false">B7*$B$2</f>
        <v>342.792</v>
      </c>
      <c r="D7" s="29" t="s">
        <v>67</v>
      </c>
    </row>
    <row r="8" customFormat="false" ht="14.25" hidden="false" customHeight="true" outlineLevel="0" collapsed="false">
      <c r="A8" s="12" t="s">
        <v>68</v>
      </c>
      <c r="B8" s="27" t="n">
        <v>116.114</v>
      </c>
      <c r="C8" s="28" t="n">
        <f aca="false">B8*$B$2</f>
        <v>614.24306</v>
      </c>
      <c r="D8" s="29" t="s">
        <v>69</v>
      </c>
    </row>
    <row r="9" customFormat="false" ht="14.25" hidden="false" customHeight="true" outlineLevel="0" collapsed="false">
      <c r="A9" s="12" t="s">
        <v>70</v>
      </c>
      <c r="B9" s="27" t="n">
        <v>42.645</v>
      </c>
      <c r="C9" s="28" t="n">
        <f aca="false">B9*$B$2</f>
        <v>225.59205</v>
      </c>
      <c r="D9" s="29" t="s">
        <v>71</v>
      </c>
    </row>
    <row r="10" customFormat="false" ht="14.25" hidden="false" customHeight="true" outlineLevel="0" collapsed="false">
      <c r="A10" s="12" t="s">
        <v>72</v>
      </c>
      <c r="B10" s="27" t="n">
        <v>15.225</v>
      </c>
      <c r="C10" s="28" t="n">
        <f aca="false">B10*$B$2</f>
        <v>80.54025</v>
      </c>
      <c r="D10" s="29" t="s">
        <v>73</v>
      </c>
    </row>
    <row r="11" customFormat="false" ht="14.25" hidden="false" customHeight="true" outlineLevel="0" collapsed="false">
      <c r="A11" s="21" t="s">
        <v>74</v>
      </c>
      <c r="B11" s="35" t="n">
        <v>309.624</v>
      </c>
      <c r="C11" s="36" t="n">
        <f aca="false">B11*$B$2</f>
        <v>1637.91096</v>
      </c>
      <c r="D11" s="37" t="s">
        <v>75</v>
      </c>
    </row>
    <row r="12" customFormat="false" ht="14.25" hidden="false" customHeight="true" outlineLevel="0" collapsed="false">
      <c r="B12" s="38" t="n">
        <f aca="false">SUM(B6:B11)</f>
        <v>655.908</v>
      </c>
      <c r="C12" s="39" t="n">
        <f aca="false">SUM(C6:C11)</f>
        <v>3469.75332</v>
      </c>
    </row>
  </sheetData>
  <mergeCells count="2">
    <mergeCell ref="A1:D1"/>
    <mergeCell ref="A4:D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77734375" defaultRowHeight="14.25" zeroHeight="false" outlineLevelRow="0" outlineLevelCol="0"/>
  <cols>
    <col collapsed="false" customWidth="true" hidden="false" outlineLevel="0" max="1" min="1" style="40" width="18"/>
    <col collapsed="false" customWidth="true" hidden="false" outlineLevel="0" max="2" min="2" style="40" width="17.22"/>
    <col collapsed="false" customWidth="true" hidden="false" outlineLevel="0" max="3" min="3" style="40" width="11.56"/>
    <col collapsed="false" customWidth="true" hidden="false" outlineLevel="0" max="4" min="4" style="40" width="9.56"/>
    <col collapsed="false" customWidth="true" hidden="false" outlineLevel="0" max="5" min="5" style="40" width="90.88"/>
  </cols>
  <sheetData>
    <row r="1" customFormat="false" ht="15" hidden="false" customHeight="true" outlineLevel="0" collapsed="false">
      <c r="A1" s="26" t="s">
        <v>76</v>
      </c>
      <c r="B1" s="26"/>
      <c r="C1" s="26"/>
      <c r="D1" s="26"/>
      <c r="E1" s="26"/>
    </row>
    <row r="2" customFormat="false" ht="14.25" hidden="false" customHeight="true" outlineLevel="0" collapsed="false">
      <c r="A2" s="41"/>
      <c r="B2" s="41"/>
      <c r="C2" s="41"/>
      <c r="D2" s="41"/>
      <c r="E2" s="41"/>
    </row>
    <row r="3" customFormat="false" ht="14.25" hidden="false" customHeight="true" outlineLevel="0" collapsed="false">
      <c r="A3" s="42" t="s">
        <v>77</v>
      </c>
      <c r="B3" s="33" t="s">
        <v>16</v>
      </c>
      <c r="C3" s="33" t="s">
        <v>78</v>
      </c>
      <c r="D3" s="33" t="s">
        <v>79</v>
      </c>
      <c r="E3" s="34" t="s">
        <v>63</v>
      </c>
      <c r="F3" s="33" t="s">
        <v>80</v>
      </c>
      <c r="G3" s="33" t="s">
        <v>81</v>
      </c>
    </row>
    <row r="4" customFormat="false" ht="14.25" hidden="false" customHeight="true" outlineLevel="0" collapsed="false">
      <c r="A4" s="12" t="s">
        <v>82</v>
      </c>
      <c r="B4" s="43" t="s">
        <v>83</v>
      </c>
      <c r="C4" s="44" t="n">
        <v>120</v>
      </c>
      <c r="D4" s="44" t="n">
        <v>400</v>
      </c>
      <c r="E4" s="29" t="s">
        <v>84</v>
      </c>
    </row>
    <row r="5" customFormat="false" ht="14.25" hidden="false" customHeight="true" outlineLevel="0" collapsed="false">
      <c r="A5" s="12" t="s">
        <v>85</v>
      </c>
      <c r="B5" s="43" t="s">
        <v>86</v>
      </c>
      <c r="C5" s="45" t="n">
        <v>0.25</v>
      </c>
      <c r="D5" s="45" t="n">
        <v>0.4</v>
      </c>
      <c r="E5" s="29" t="s">
        <v>87</v>
      </c>
    </row>
    <row r="6" customFormat="false" ht="14.25" hidden="false" customHeight="true" outlineLevel="0" collapsed="false">
      <c r="A6" s="12" t="s">
        <v>88</v>
      </c>
      <c r="B6" s="43" t="s">
        <v>86</v>
      </c>
      <c r="C6" s="45" t="n">
        <v>0.6</v>
      </c>
      <c r="D6" s="45" t="n">
        <v>0.8</v>
      </c>
      <c r="E6" s="29" t="s">
        <v>89</v>
      </c>
    </row>
    <row r="7" customFormat="false" ht="14.25" hidden="false" customHeight="true" outlineLevel="0" collapsed="false">
      <c r="A7" s="12" t="s">
        <v>90</v>
      </c>
      <c r="B7" s="43" t="s">
        <v>91</v>
      </c>
      <c r="C7" s="45" t="n">
        <v>0.21</v>
      </c>
      <c r="D7" s="45" t="n">
        <v>0.21</v>
      </c>
      <c r="E7" s="29" t="s">
        <v>92</v>
      </c>
    </row>
    <row r="8" customFormat="false" ht="14.25" hidden="false" customHeight="true" outlineLevel="0" collapsed="false">
      <c r="A8" s="12" t="s">
        <v>93</v>
      </c>
      <c r="B8" s="43" t="s">
        <v>91</v>
      </c>
      <c r="C8" s="45" t="n">
        <v>0.2</v>
      </c>
      <c r="D8" s="45" t="n">
        <v>0.6</v>
      </c>
      <c r="E8" s="46" t="s">
        <v>94</v>
      </c>
    </row>
    <row r="9" customFormat="false" ht="14.25" hidden="false" customHeight="true" outlineLevel="0" collapsed="false">
      <c r="A9" s="12" t="s">
        <v>95</v>
      </c>
      <c r="B9" s="43" t="s">
        <v>91</v>
      </c>
      <c r="C9" s="45" t="n">
        <v>0.1</v>
      </c>
      <c r="D9" s="45" t="n">
        <v>0.1</v>
      </c>
      <c r="E9" s="29" t="s">
        <v>96</v>
      </c>
    </row>
    <row r="10" customFormat="false" ht="14.25" hidden="false" customHeight="true" outlineLevel="0" collapsed="false">
      <c r="A10" s="12" t="s">
        <v>97</v>
      </c>
      <c r="B10" s="43" t="s">
        <v>91</v>
      </c>
      <c r="C10" s="45" t="n">
        <v>0.05</v>
      </c>
      <c r="D10" s="45" t="n">
        <v>0.2</v>
      </c>
      <c r="E10" s="29" t="s">
        <v>98</v>
      </c>
    </row>
    <row r="11" customFormat="false" ht="14.25" hidden="false" customHeight="true" outlineLevel="0" collapsed="false">
      <c r="A11" s="12" t="s">
        <v>99</v>
      </c>
      <c r="B11" s="43" t="s">
        <v>100</v>
      </c>
      <c r="C11" s="27" t="n">
        <v>5</v>
      </c>
      <c r="D11" s="27" t="n">
        <v>3.5</v>
      </c>
      <c r="E11" s="29" t="s">
        <v>101</v>
      </c>
    </row>
    <row r="12" customFormat="false" ht="14.25" hidden="false" customHeight="true" outlineLevel="0" collapsed="false">
      <c r="A12" s="12" t="s">
        <v>102</v>
      </c>
      <c r="B12" s="43" t="s">
        <v>91</v>
      </c>
      <c r="C12" s="45" t="n">
        <v>0.2</v>
      </c>
      <c r="D12" s="45" t="n">
        <v>0.5</v>
      </c>
      <c r="E12" s="46" t="s">
        <v>103</v>
      </c>
    </row>
    <row r="13" customFormat="false" ht="14.25" hidden="false" customHeight="true" outlineLevel="0" collapsed="false">
      <c r="A13" s="12" t="s">
        <v>104</v>
      </c>
      <c r="B13" s="43" t="s">
        <v>91</v>
      </c>
      <c r="C13" s="45" t="n">
        <v>0.2</v>
      </c>
      <c r="D13" s="45" t="n">
        <v>0.4</v>
      </c>
      <c r="E13" s="46" t="s">
        <v>105</v>
      </c>
    </row>
    <row r="14" customFormat="false" ht="14.25" hidden="false" customHeight="true" outlineLevel="0" collapsed="false">
      <c r="A14" s="12" t="s">
        <v>106</v>
      </c>
      <c r="B14" s="43" t="s">
        <v>107</v>
      </c>
      <c r="C14" s="27" t="n">
        <v>1.5</v>
      </c>
      <c r="D14" s="27" t="n">
        <v>1.5</v>
      </c>
      <c r="E14" s="29" t="s">
        <v>108</v>
      </c>
    </row>
    <row r="15" customFormat="false" ht="14.25" hidden="false" customHeight="true" outlineLevel="0" collapsed="false">
      <c r="A15" s="12" t="s">
        <v>109</v>
      </c>
      <c r="B15" s="43" t="s">
        <v>110</v>
      </c>
      <c r="C15" s="27" t="n">
        <v>1.2</v>
      </c>
      <c r="D15" s="27" t="n">
        <v>1.2</v>
      </c>
      <c r="E15" s="29" t="s">
        <v>111</v>
      </c>
    </row>
    <row r="16" customFormat="false" ht="14.25" hidden="false" customHeight="true" outlineLevel="0" collapsed="false">
      <c r="A16" s="12" t="s">
        <v>112</v>
      </c>
      <c r="B16" s="43" t="s">
        <v>113</v>
      </c>
      <c r="C16" s="44" t="n">
        <v>15</v>
      </c>
      <c r="D16" s="44" t="n">
        <v>35</v>
      </c>
      <c r="E16" s="29" t="s">
        <v>114</v>
      </c>
    </row>
    <row r="17" customFormat="false" ht="14.25" hidden="false" customHeight="true" outlineLevel="0" collapsed="false">
      <c r="A17" s="12" t="s">
        <v>115</v>
      </c>
      <c r="B17" s="43" t="s">
        <v>116</v>
      </c>
      <c r="C17" s="44" t="n">
        <v>20</v>
      </c>
      <c r="D17" s="44" t="n">
        <v>60</v>
      </c>
      <c r="E17" s="29" t="s">
        <v>117</v>
      </c>
    </row>
    <row r="18" customFormat="false" ht="14.25" hidden="false" customHeight="true" outlineLevel="0" collapsed="false">
      <c r="A18" s="12" t="s">
        <v>118</v>
      </c>
      <c r="B18" s="43" t="s">
        <v>119</v>
      </c>
      <c r="C18" s="44" t="n">
        <v>12</v>
      </c>
      <c r="D18" s="44" t="n">
        <v>24</v>
      </c>
      <c r="E18" s="29" t="s">
        <v>120</v>
      </c>
    </row>
    <row r="19" customFormat="false" ht="14.25" hidden="false" customHeight="true" outlineLevel="0" collapsed="false">
      <c r="A19" s="12" t="s">
        <v>121</v>
      </c>
      <c r="B19" s="43" t="s">
        <v>122</v>
      </c>
      <c r="C19" s="44" t="n">
        <v>24</v>
      </c>
      <c r="D19" s="44" t="n">
        <v>12</v>
      </c>
      <c r="E19" s="46" t="s">
        <v>123</v>
      </c>
    </row>
    <row r="20" customFormat="false" ht="14.25" hidden="false" customHeight="true" outlineLevel="0" collapsed="false">
      <c r="A20" s="12" t="s">
        <v>124</v>
      </c>
      <c r="B20" s="43" t="s">
        <v>86</v>
      </c>
      <c r="C20" s="45" t="n">
        <v>0.9</v>
      </c>
      <c r="D20" s="45" t="n">
        <v>0.95</v>
      </c>
      <c r="E20" s="46" t="s">
        <v>125</v>
      </c>
    </row>
    <row r="21" customFormat="false" ht="14.25" hidden="false" customHeight="true" outlineLevel="0" collapsed="false">
      <c r="A21" s="12" t="s">
        <v>126</v>
      </c>
      <c r="B21" s="43" t="s">
        <v>119</v>
      </c>
      <c r="C21" s="44" t="n">
        <v>22</v>
      </c>
      <c r="D21" s="44" t="n">
        <v>67</v>
      </c>
      <c r="E21" s="29" t="s">
        <v>127</v>
      </c>
    </row>
    <row r="22" customFormat="false" ht="14.25" hidden="false" customHeight="true" outlineLevel="0" collapsed="false">
      <c r="A22" s="12" t="s">
        <v>128</v>
      </c>
      <c r="B22" s="43" t="s">
        <v>129</v>
      </c>
      <c r="C22" s="45" t="n">
        <v>0.05</v>
      </c>
      <c r="D22" s="45" t="n">
        <v>0.15</v>
      </c>
      <c r="E22" s="29" t="s">
        <v>130</v>
      </c>
    </row>
    <row r="23" customFormat="false" ht="14.25" hidden="false" customHeight="true" outlineLevel="0" collapsed="false">
      <c r="A23" s="12" t="s">
        <v>131</v>
      </c>
      <c r="B23" s="43" t="s">
        <v>119</v>
      </c>
      <c r="C23" s="44" t="n">
        <v>31</v>
      </c>
      <c r="D23" s="44" t="n">
        <v>94</v>
      </c>
      <c r="E23" s="29" t="s">
        <v>132</v>
      </c>
    </row>
    <row r="24" customFormat="false" ht="14.25" hidden="false" customHeight="true" outlineLevel="0" collapsed="false">
      <c r="A24" s="12" t="s">
        <v>133</v>
      </c>
      <c r="B24" s="43" t="s">
        <v>129</v>
      </c>
      <c r="C24" s="45" t="n">
        <v>0.015</v>
      </c>
      <c r="D24" s="45" t="n">
        <v>0.1</v>
      </c>
      <c r="E24" s="46" t="s">
        <v>134</v>
      </c>
    </row>
    <row r="25" customFormat="false" ht="14.25" hidden="false" customHeight="true" outlineLevel="0" collapsed="false">
      <c r="A25" s="12" t="s">
        <v>135</v>
      </c>
      <c r="B25" s="43" t="s">
        <v>129</v>
      </c>
      <c r="C25" s="45" t="n">
        <v>0.003</v>
      </c>
      <c r="D25" s="45" t="n">
        <v>0.02</v>
      </c>
      <c r="E25" s="46" t="s">
        <v>134</v>
      </c>
    </row>
    <row r="26" customFormat="false" ht="14.25" hidden="false" customHeight="true" outlineLevel="0" collapsed="false">
      <c r="A26" s="12" t="s">
        <v>136</v>
      </c>
      <c r="B26" s="43" t="s">
        <v>129</v>
      </c>
      <c r="C26" s="45" t="n">
        <v>0</v>
      </c>
      <c r="D26" s="45" t="n">
        <v>0</v>
      </c>
      <c r="E26" s="29" t="s">
        <v>134</v>
      </c>
    </row>
    <row r="27" customFormat="false" ht="14.25" hidden="false" customHeight="true" outlineLevel="0" collapsed="false">
      <c r="A27" s="12" t="s">
        <v>137</v>
      </c>
      <c r="B27" s="43" t="s">
        <v>86</v>
      </c>
      <c r="C27" s="27" t="n">
        <v>1</v>
      </c>
      <c r="D27" s="27" t="n">
        <v>1</v>
      </c>
      <c r="E27" s="29" t="s">
        <v>138</v>
      </c>
    </row>
    <row r="28" customFormat="false" ht="14.25" hidden="false" customHeight="true" outlineLevel="0" collapsed="false">
      <c r="A28" s="12" t="s">
        <v>139</v>
      </c>
      <c r="B28" s="43" t="s">
        <v>86</v>
      </c>
      <c r="C28" s="45" t="n">
        <v>0.1</v>
      </c>
      <c r="D28" s="45" t="n">
        <v>0.1</v>
      </c>
      <c r="E28" s="29" t="s">
        <v>140</v>
      </c>
    </row>
    <row r="29" customFormat="false" ht="14.25" hidden="false" customHeight="true" outlineLevel="0" collapsed="false">
      <c r="A29" s="12" t="s">
        <v>141</v>
      </c>
      <c r="B29" s="43" t="s">
        <v>86</v>
      </c>
      <c r="C29" s="27" t="n">
        <v>4</v>
      </c>
      <c r="D29" s="27" t="n">
        <v>4</v>
      </c>
      <c r="E29" s="29" t="s">
        <v>142</v>
      </c>
    </row>
    <row r="30" customFormat="false" ht="14.25" hidden="false" customHeight="true" outlineLevel="0" collapsed="false">
      <c r="A30" s="12" t="s">
        <v>143</v>
      </c>
      <c r="B30" s="43" t="s">
        <v>144</v>
      </c>
      <c r="C30" s="47" t="n">
        <f aca="false">F30/(1+Parameters!$C$41*F30/(Constants!$B$8*Parameters!$C$40))</f>
        <v>0.546875</v>
      </c>
      <c r="D30" s="47" t="n">
        <f aca="false">G30/(1+Parameters!$D$41*G30/(Constants!$B$8*Parameters!$D$40))</f>
        <v>0.634328358208955</v>
      </c>
      <c r="E30" s="46" t="s">
        <v>145</v>
      </c>
      <c r="F30" s="45" t="n">
        <v>0.7</v>
      </c>
      <c r="G30" s="45" t="n">
        <v>0.85</v>
      </c>
    </row>
    <row r="31" customFormat="false" ht="14.25" hidden="false" customHeight="true" outlineLevel="0" collapsed="false">
      <c r="A31" s="12" t="s">
        <v>146</v>
      </c>
      <c r="B31" s="43" t="s">
        <v>144</v>
      </c>
      <c r="C31" s="47" t="n">
        <f aca="false">F31/(1+Parameters!$C$41*F31/(Constants!$B$8*Parameters!$C$40))</f>
        <v>0.606060606060606</v>
      </c>
      <c r="D31" s="47" t="n">
        <f aca="false">G31/(1+Parameters!$D$41*G31/(Constants!$B$8*Parameters!$D$40))</f>
        <v>0.634328358208955</v>
      </c>
      <c r="E31" s="46" t="s">
        <v>147</v>
      </c>
      <c r="F31" s="45" t="n">
        <v>0.8</v>
      </c>
      <c r="G31" s="45" t="n">
        <v>0.85</v>
      </c>
    </row>
    <row r="32" customFormat="false" ht="14.25" hidden="false" customHeight="true" outlineLevel="0" collapsed="false">
      <c r="A32" s="12" t="s">
        <v>148</v>
      </c>
      <c r="B32" s="43" t="s">
        <v>144</v>
      </c>
      <c r="C32" s="47" t="n">
        <f aca="false">F32/(1+Parameters!$C$41*F32/(Constants!$B$8*Parameters!$C$40))</f>
        <v>0.141509433962264</v>
      </c>
      <c r="D32" s="47" t="n">
        <f aca="false">G32/(1+Parameters!$D$41*G32/(Constants!$B$8*Parameters!$D$40))</f>
        <v>0.185185185185185</v>
      </c>
      <c r="E32" s="46" t="s">
        <v>149</v>
      </c>
      <c r="F32" s="45" t="n">
        <v>0.15</v>
      </c>
      <c r="G32" s="45" t="n">
        <v>0.2</v>
      </c>
    </row>
    <row r="33" customFormat="false" ht="14.25" hidden="false" customHeight="true" outlineLevel="0" collapsed="false">
      <c r="A33" s="12" t="s">
        <v>150</v>
      </c>
      <c r="B33" s="43" t="s">
        <v>144</v>
      </c>
      <c r="C33" s="47" t="n">
        <f aca="false">F33/(1+Parameters!$C$41*F33/(Constants!$B$8*Parameters!$C$40))</f>
        <v>0.450819672131148</v>
      </c>
      <c r="D33" s="47" t="n">
        <f aca="false">G33/(1+Parameters!$D$41*G33/(Constants!$B$8*Parameters!$D$40))</f>
        <v>0.515873015873016</v>
      </c>
      <c r="E33" s="46" t="s">
        <v>151</v>
      </c>
      <c r="F33" s="45" t="n">
        <v>0.55</v>
      </c>
      <c r="G33" s="45" t="n">
        <v>0.65</v>
      </c>
    </row>
    <row r="34" customFormat="false" ht="14.25" hidden="false" customHeight="true" outlineLevel="0" collapsed="false">
      <c r="A34" s="12" t="s">
        <v>152</v>
      </c>
      <c r="B34" s="43" t="s">
        <v>144</v>
      </c>
      <c r="C34" s="47" t="n">
        <f aca="false">F34/(1+Parameters!$C$41*F34/(Constants!$B$8*Parameters!$C$40))</f>
        <v>0.450819672131148</v>
      </c>
      <c r="D34" s="47" t="n">
        <f aca="false">G34/(1+Parameters!$D$41*G34/(Constants!$B$8*Parameters!$D$40))</f>
        <v>0.515873015873016</v>
      </c>
      <c r="E34" s="29" t="s">
        <v>153</v>
      </c>
      <c r="F34" s="45" t="n">
        <v>0.55</v>
      </c>
      <c r="G34" s="45" t="n">
        <v>0.65</v>
      </c>
    </row>
    <row r="35" customFormat="false" ht="14.25" hidden="false" customHeight="true" outlineLevel="0" collapsed="false">
      <c r="A35" s="12" t="s">
        <v>154</v>
      </c>
      <c r="B35" s="43" t="s">
        <v>144</v>
      </c>
      <c r="C35" s="47" t="n">
        <f aca="false">F35/(1+Parameters!$C$41*F35/(Constants!$B$8*Parameters!$C$40))</f>
        <v>0.416666666666667</v>
      </c>
      <c r="D35" s="47" t="n">
        <f aca="false">G35/(1+Parameters!$D$41*G35/(Constants!$B$8*Parameters!$D$40))</f>
        <v>0.483870967741935</v>
      </c>
      <c r="E35" s="29" t="s">
        <v>155</v>
      </c>
      <c r="F35" s="45" t="n">
        <v>0.5</v>
      </c>
      <c r="G35" s="45" t="n">
        <v>0.6</v>
      </c>
    </row>
    <row r="36" customFormat="false" ht="14.25" hidden="false" customHeight="true" outlineLevel="0" collapsed="false">
      <c r="A36" s="12" t="s">
        <v>156</v>
      </c>
      <c r="B36" s="43" t="s">
        <v>144</v>
      </c>
      <c r="C36" s="45" t="n">
        <v>0</v>
      </c>
      <c r="D36" s="45" t="n">
        <v>0</v>
      </c>
      <c r="E36" s="29" t="s">
        <v>157</v>
      </c>
    </row>
    <row r="37" customFormat="false" ht="27.75" hidden="false" customHeight="true" outlineLevel="0" collapsed="false">
      <c r="A37" s="21" t="s">
        <v>158</v>
      </c>
      <c r="B37" s="48" t="s">
        <v>86</v>
      </c>
      <c r="C37" s="49" t="n">
        <v>0.15</v>
      </c>
      <c r="D37" s="49" t="n">
        <v>0.35</v>
      </c>
      <c r="E37" s="50" t="s">
        <v>159</v>
      </c>
    </row>
    <row r="39" customFormat="false" ht="14.25" hidden="false" customHeight="true" outlineLevel="0" collapsed="false">
      <c r="A39" s="12" t="s">
        <v>160</v>
      </c>
      <c r="B39" s="43" t="s">
        <v>21</v>
      </c>
      <c r="C39" s="45" t="n">
        <v>303.15</v>
      </c>
      <c r="D39" s="45" t="n">
        <v>303.15</v>
      </c>
      <c r="E39" s="29" t="s">
        <v>161</v>
      </c>
    </row>
    <row r="40" customFormat="false" ht="14.25" hidden="false" customHeight="true" outlineLevel="0" collapsed="false">
      <c r="A40" s="12" t="s">
        <v>162</v>
      </c>
      <c r="B40" s="43" t="s">
        <v>83</v>
      </c>
      <c r="C40" s="51" t="n">
        <v>0.1</v>
      </c>
      <c r="D40" s="51" t="n">
        <v>0.1</v>
      </c>
      <c r="E40" s="29" t="s">
        <v>163</v>
      </c>
    </row>
    <row r="41" customFormat="false" ht="14.25" hidden="false" customHeight="true" outlineLevel="0" collapsed="false">
      <c r="A41" s="12" t="s">
        <v>164</v>
      </c>
      <c r="B41" s="43" t="s">
        <v>165</v>
      </c>
      <c r="C41" s="51" t="n">
        <v>0.02</v>
      </c>
      <c r="D41" s="51" t="n">
        <v>0.02</v>
      </c>
      <c r="E41" s="29" t="s">
        <v>166</v>
      </c>
    </row>
  </sheetData>
  <mergeCells count="2">
    <mergeCell ref="A1:E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7578125" defaultRowHeight="14.25" zeroHeight="false" outlineLevelRow="0" outlineLevelCol="0"/>
  <cols>
    <col collapsed="false" customWidth="true" hidden="false" outlineLevel="0" max="1" min="1" style="52" width="21.77"/>
    <col collapsed="false" customWidth="true" hidden="false" outlineLevel="0" max="2" min="2" style="52" width="13.11"/>
    <col collapsed="false" customWidth="true" hidden="false" outlineLevel="0" max="3" min="3" style="52" width="13.22"/>
    <col collapsed="false" customWidth="true" hidden="false" outlineLevel="0" max="4" min="4" style="52" width="57.33"/>
    <col collapsed="false" customWidth="false" hidden="false" outlineLevel="0" max="5" min="5" style="52" width="8.76"/>
    <col collapsed="false" customWidth="true" hidden="false" outlineLevel="0" max="6" min="6" style="52" width="12.67"/>
    <col collapsed="false" customWidth="true" hidden="false" outlineLevel="0" max="7" min="7" style="52" width="42.22"/>
    <col collapsed="false" customWidth="true" hidden="false" outlineLevel="0" max="8" min="8" style="52" width="13.11"/>
    <col collapsed="false" customWidth="true" hidden="false" outlineLevel="0" max="9" min="9" style="52" width="13.22"/>
    <col collapsed="false" customWidth="true" hidden="false" outlineLevel="0" max="11" min="10" style="52" width="3.22"/>
    <col collapsed="false" customWidth="false" hidden="false" outlineLevel="0" max="16384" min="12" style="52" width="8.76"/>
  </cols>
  <sheetData>
    <row r="1" customFormat="false" ht="15" hidden="false" customHeight="true" outlineLevel="0" collapsed="false">
      <c r="A1" s="53" t="s">
        <v>167</v>
      </c>
      <c r="B1" s="53"/>
      <c r="C1" s="53"/>
      <c r="D1" s="53"/>
      <c r="F1" s="53" t="s">
        <v>168</v>
      </c>
      <c r="G1" s="53"/>
      <c r="H1" s="53"/>
      <c r="I1" s="53"/>
      <c r="J1" s="53"/>
      <c r="K1" s="53"/>
    </row>
    <row r="2" customFormat="false" ht="14.25" hidden="false" customHeight="true" outlineLevel="0" collapsed="false">
      <c r="A2" s="54"/>
      <c r="B2" s="54"/>
      <c r="C2" s="54"/>
      <c r="D2" s="54"/>
      <c r="F2" s="55"/>
      <c r="G2" s="55"/>
      <c r="H2" s="55"/>
      <c r="I2" s="55"/>
      <c r="J2" s="55"/>
      <c r="K2" s="55"/>
    </row>
    <row r="3" customFormat="false" ht="41.25" hidden="false" customHeight="true" outlineLevel="0" collapsed="false">
      <c r="A3" s="56" t="s">
        <v>77</v>
      </c>
      <c r="B3" s="57" t="s">
        <v>78</v>
      </c>
      <c r="C3" s="57" t="s">
        <v>79</v>
      </c>
      <c r="D3" s="56" t="s">
        <v>63</v>
      </c>
      <c r="F3" s="58" t="s">
        <v>169</v>
      </c>
      <c r="G3" s="58" t="s">
        <v>170</v>
      </c>
      <c r="H3" s="57" t="s">
        <v>78</v>
      </c>
      <c r="I3" s="57" t="s">
        <v>79</v>
      </c>
      <c r="J3" s="59" t="s">
        <v>171</v>
      </c>
      <c r="K3" s="59"/>
    </row>
    <row r="4" customFormat="false" ht="14.25" hidden="false" customHeight="true" outlineLevel="0" collapsed="false">
      <c r="A4" s="12" t="s">
        <v>172</v>
      </c>
      <c r="B4" s="30" t="n">
        <v>0.9</v>
      </c>
      <c r="C4" s="30" t="n">
        <v>0.5</v>
      </c>
      <c r="D4" s="46" t="s">
        <v>173</v>
      </c>
      <c r="F4" s="60" t="s">
        <v>174</v>
      </c>
      <c r="G4" s="61" t="s">
        <v>175</v>
      </c>
      <c r="H4" s="62" t="n">
        <v>0.75</v>
      </c>
      <c r="I4" s="62" t="n">
        <v>0.25</v>
      </c>
      <c r="J4" s="63" t="str">
        <f aca="false">IF(($H$4+$H$5)=1,"OK","VIOLATION")</f>
        <v>OK</v>
      </c>
      <c r="K4" s="64" t="str">
        <f aca="false">IF(($I$4+$I$5)=1,"OK","VIOLATION")</f>
        <v>OK</v>
      </c>
    </row>
    <row r="5" customFormat="false" ht="14.25" hidden="false" customHeight="true" outlineLevel="0" collapsed="false">
      <c r="A5" s="12" t="s">
        <v>176</v>
      </c>
      <c r="B5" s="30" t="n">
        <f aca="false">Parameters!C20</f>
        <v>0.9</v>
      </c>
      <c r="C5" s="30" t="n">
        <f aca="false">Parameters!D20</f>
        <v>0.95</v>
      </c>
      <c r="D5" s="46" t="s">
        <v>177</v>
      </c>
      <c r="F5" s="60"/>
      <c r="G5" s="14" t="s">
        <v>178</v>
      </c>
      <c r="H5" s="30" t="n">
        <v>0.25</v>
      </c>
      <c r="I5" s="30" t="n">
        <v>0.75</v>
      </c>
      <c r="J5" s="63"/>
      <c r="K5" s="64"/>
    </row>
    <row r="6" customFormat="false" ht="14.25" hidden="false" customHeight="true" outlineLevel="0" collapsed="false">
      <c r="A6" s="12" t="s">
        <v>179</v>
      </c>
      <c r="B6" s="30" t="n">
        <v>0.6</v>
      </c>
      <c r="C6" s="30" t="n">
        <v>0.75</v>
      </c>
      <c r="D6" s="29" t="s">
        <v>180</v>
      </c>
      <c r="F6" s="12" t="s">
        <v>181</v>
      </c>
      <c r="G6" s="65" t="s">
        <v>182</v>
      </c>
      <c r="H6" s="30" t="n">
        <v>1</v>
      </c>
      <c r="I6" s="30" t="n">
        <v>1</v>
      </c>
      <c r="J6" s="43" t="str">
        <f aca="false">IF($H$6=1,"OK","VIOLATION")</f>
        <v>OK</v>
      </c>
      <c r="K6" s="29" t="str">
        <f aca="false">IF($I$6=1,"OK","VIOLATION")</f>
        <v>OK</v>
      </c>
    </row>
    <row r="7" customFormat="false" ht="14.25" hidden="false" customHeight="true" outlineLevel="0" collapsed="false">
      <c r="A7" s="12" t="s">
        <v>183</v>
      </c>
      <c r="B7" s="30" t="n">
        <v>0.1</v>
      </c>
      <c r="C7" s="30" t="n">
        <v>0.05</v>
      </c>
      <c r="D7" s="29" t="s">
        <v>184</v>
      </c>
      <c r="F7" s="12" t="s">
        <v>185</v>
      </c>
      <c r="G7" s="14" t="s">
        <v>186</v>
      </c>
      <c r="H7" s="30" t="n">
        <v>1</v>
      </c>
      <c r="I7" s="30" t="n">
        <v>1</v>
      </c>
      <c r="J7" s="43" t="str">
        <f aca="false">IF($H$7=1,"OK","VIOLATION")</f>
        <v>OK</v>
      </c>
      <c r="K7" s="29" t="str">
        <f aca="false">IF($I$7=1,"OK","VIOLATION")</f>
        <v>OK</v>
      </c>
    </row>
    <row r="8" customFormat="false" ht="14.25" hidden="false" customHeight="true" outlineLevel="0" collapsed="false">
      <c r="A8" s="12" t="s">
        <v>187</v>
      </c>
      <c r="B8" s="30" t="n">
        <v>0.3</v>
      </c>
      <c r="C8" s="30" t="n">
        <v>0.2</v>
      </c>
      <c r="D8" s="29" t="s">
        <v>188</v>
      </c>
      <c r="F8" s="12" t="s">
        <v>189</v>
      </c>
      <c r="G8" s="14" t="s">
        <v>190</v>
      </c>
      <c r="H8" s="30" t="n">
        <v>1</v>
      </c>
      <c r="I8" s="30" t="n">
        <v>1</v>
      </c>
      <c r="J8" s="43" t="str">
        <f aca="false">IF($H$8=1,"OK","VIOLATION")</f>
        <v>OK</v>
      </c>
      <c r="K8" s="29" t="str">
        <f aca="false">IF($I$8=1,"OK","VIOLATION")</f>
        <v>OK</v>
      </c>
    </row>
    <row r="9" customFormat="false" ht="14.25" hidden="false" customHeight="true" outlineLevel="0" collapsed="false">
      <c r="A9" s="12" t="s">
        <v>191</v>
      </c>
      <c r="B9" s="30" t="n">
        <v>0.1</v>
      </c>
      <c r="C9" s="30" t="n">
        <v>0.9</v>
      </c>
      <c r="D9" s="46" t="s">
        <v>192</v>
      </c>
      <c r="F9" s="12" t="s">
        <v>66</v>
      </c>
      <c r="G9" s="14" t="s">
        <v>193</v>
      </c>
      <c r="H9" s="30" t="n">
        <v>0.75</v>
      </c>
      <c r="I9" s="30" t="n">
        <v>0.25</v>
      </c>
      <c r="J9" s="43" t="str">
        <f aca="false">IF(($H$9+$H$10)=1,"OK","VIOLATION")</f>
        <v>OK</v>
      </c>
      <c r="K9" s="29" t="str">
        <f aca="false">IF(($I$9+$I$10)=1,"OK","VIOLATION")</f>
        <v>OK</v>
      </c>
    </row>
    <row r="10" customFormat="false" ht="14.25" hidden="false" customHeight="true" outlineLevel="0" collapsed="false">
      <c r="A10" s="12" t="s">
        <v>194</v>
      </c>
      <c r="B10" s="30" t="n">
        <v>0.74</v>
      </c>
      <c r="C10" s="30" t="n">
        <v>0.82</v>
      </c>
      <c r="D10" s="29" t="s">
        <v>195</v>
      </c>
      <c r="F10" s="12"/>
      <c r="G10" s="14" t="s">
        <v>196</v>
      </c>
      <c r="H10" s="30" t="n">
        <v>0.25</v>
      </c>
      <c r="I10" s="30" t="n">
        <v>0.75</v>
      </c>
      <c r="J10" s="43"/>
      <c r="K10" s="29"/>
    </row>
    <row r="11" customFormat="false" ht="14.25" hidden="false" customHeight="true" outlineLevel="0" collapsed="false">
      <c r="A11" s="12" t="s">
        <v>197</v>
      </c>
      <c r="B11" s="30" t="n">
        <v>0.451863354037267</v>
      </c>
      <c r="C11" s="30" t="n">
        <v>0.599</v>
      </c>
      <c r="D11" s="29" t="s">
        <v>198</v>
      </c>
      <c r="F11" s="12" t="s">
        <v>68</v>
      </c>
      <c r="G11" s="14" t="s">
        <v>199</v>
      </c>
      <c r="H11" s="30" t="n">
        <v>1</v>
      </c>
      <c r="I11" s="30" t="n">
        <v>1</v>
      </c>
      <c r="J11" s="43" t="str">
        <f aca="false">IF($H$11=1,"OK","VIOLATION")</f>
        <v>OK</v>
      </c>
      <c r="K11" s="29" t="str">
        <f aca="false">IF($I$11=1,"OK","VIOLATION")</f>
        <v>OK</v>
      </c>
    </row>
    <row r="12" customFormat="false" ht="14.25" hidden="false" customHeight="true" outlineLevel="0" collapsed="false">
      <c r="A12" s="12" t="s">
        <v>200</v>
      </c>
      <c r="B12" s="30" t="n">
        <v>0.309006211180124</v>
      </c>
      <c r="C12" s="30" t="n">
        <v>0.258</v>
      </c>
      <c r="D12" s="29" t="s">
        <v>201</v>
      </c>
      <c r="F12" s="12" t="s">
        <v>70</v>
      </c>
      <c r="G12" s="14" t="s">
        <v>202</v>
      </c>
      <c r="H12" s="30" t="n">
        <v>1</v>
      </c>
      <c r="I12" s="30" t="n">
        <v>1</v>
      </c>
      <c r="J12" s="43" t="str">
        <f aca="false">IF($H$12=1,"OK","VIOLATION")</f>
        <v>OK</v>
      </c>
      <c r="K12" s="29" t="str">
        <f aca="false">IF($I$12=1,"OK","VIOLATION")</f>
        <v>OK</v>
      </c>
    </row>
    <row r="13" customFormat="false" ht="14.25" hidden="false" customHeight="true" outlineLevel="0" collapsed="false">
      <c r="A13" s="12" t="s">
        <v>203</v>
      </c>
      <c r="B13" s="30" t="n">
        <v>0.239130434782609</v>
      </c>
      <c r="C13" s="30" t="n">
        <v>0.143</v>
      </c>
      <c r="D13" s="29" t="s">
        <v>204</v>
      </c>
      <c r="F13" s="12" t="s">
        <v>72</v>
      </c>
      <c r="G13" s="14" t="s">
        <v>202</v>
      </c>
      <c r="H13" s="30" t="n">
        <v>1</v>
      </c>
      <c r="I13" s="30" t="n">
        <v>1</v>
      </c>
      <c r="J13" s="43" t="str">
        <f aca="false">IF($H$13=1,"OK","VIOLATION")</f>
        <v>OK</v>
      </c>
      <c r="K13" s="29" t="str">
        <f aca="false">IF($I$13=1,"OK","VIOLATION")</f>
        <v>OK</v>
      </c>
    </row>
    <row r="14" customFormat="false" ht="14.25" hidden="false" customHeight="true" outlineLevel="0" collapsed="false">
      <c r="A14" s="12" t="s">
        <v>205</v>
      </c>
      <c r="B14" s="30" t="n">
        <v>0.5</v>
      </c>
      <c r="C14" s="30" t="n">
        <v>0.95</v>
      </c>
      <c r="D14" s="46" t="s">
        <v>206</v>
      </c>
      <c r="F14" s="66"/>
      <c r="K14" s="67"/>
    </row>
    <row r="15" customFormat="false" ht="14.25" hidden="false" customHeight="true" outlineLevel="0" collapsed="false">
      <c r="A15" s="12" t="s">
        <v>207</v>
      </c>
      <c r="B15" s="30" t="n">
        <v>0.9</v>
      </c>
      <c r="C15" s="30" t="n">
        <v>1</v>
      </c>
      <c r="D15" s="29" t="s">
        <v>208</v>
      </c>
      <c r="F15" s="66"/>
      <c r="K15" s="67"/>
    </row>
    <row r="16" customFormat="false" ht="15" hidden="false" customHeight="true" outlineLevel="0" collapsed="false">
      <c r="A16" s="68"/>
      <c r="B16" s="69"/>
      <c r="C16" s="69"/>
      <c r="D16" s="70"/>
      <c r="F16" s="53" t="s">
        <v>209</v>
      </c>
      <c r="G16" s="53"/>
      <c r="H16" s="53"/>
      <c r="I16" s="53"/>
      <c r="J16" s="53"/>
      <c r="K16" s="53"/>
    </row>
    <row r="17" customFormat="false" ht="15" hidden="false" customHeight="true" outlineLevel="0" collapsed="false">
      <c r="A17" s="53" t="s">
        <v>210</v>
      </c>
      <c r="B17" s="53"/>
      <c r="C17" s="53"/>
      <c r="D17" s="53"/>
      <c r="F17" s="66"/>
      <c r="G17" s="66"/>
      <c r="H17" s="66"/>
      <c r="I17" s="66"/>
      <c r="K17" s="67"/>
    </row>
    <row r="18" customFormat="false" ht="14.25" hidden="false" customHeight="true" outlineLevel="0" collapsed="false">
      <c r="A18" s="54"/>
      <c r="B18" s="54"/>
      <c r="C18" s="54"/>
      <c r="D18" s="54"/>
      <c r="F18" s="56" t="s">
        <v>169</v>
      </c>
      <c r="G18" s="56" t="s">
        <v>170</v>
      </c>
      <c r="H18" s="56" t="s">
        <v>211</v>
      </c>
      <c r="I18" s="56" t="s">
        <v>212</v>
      </c>
      <c r="J18" s="56" t="s">
        <v>63</v>
      </c>
      <c r="K18" s="56"/>
      <c r="L18" s="71" t="s">
        <v>213</v>
      </c>
      <c r="M18" s="71"/>
      <c r="N18" s="71"/>
    </row>
    <row r="19" customFormat="false" ht="14.25" hidden="false" customHeight="true" outlineLevel="0" collapsed="false">
      <c r="A19" s="56" t="s">
        <v>169</v>
      </c>
      <c r="B19" s="56" t="s">
        <v>211</v>
      </c>
      <c r="C19" s="56" t="s">
        <v>212</v>
      </c>
      <c r="D19" s="56" t="s">
        <v>214</v>
      </c>
      <c r="F19" s="72" t="str">
        <f aca="false">F4</f>
        <v>CO2_available</v>
      </c>
      <c r="G19" s="61" t="str">
        <f aca="false">G4</f>
        <v>Photoautotroph (aerobic); light (energy)</v>
      </c>
      <c r="H19" s="73" t="n">
        <f aca="false">H4*B$33</f>
        <v>255.35900949</v>
      </c>
      <c r="I19" s="73" t="n">
        <f aca="false">I4*C$33</f>
        <v>9.67619419065801</v>
      </c>
      <c r="J19" s="74"/>
      <c r="K19" s="74"/>
      <c r="M19" s="75" t="n">
        <v>100</v>
      </c>
    </row>
    <row r="20" customFormat="false" ht="14.25" hidden="false" customHeight="true" outlineLevel="0" collapsed="false">
      <c r="A20" s="12" t="s">
        <v>215</v>
      </c>
      <c r="B20" s="73" t="n">
        <f aca="false">Inputs!$C$7*$B$4</f>
        <v>308.5128</v>
      </c>
      <c r="C20" s="73" t="n">
        <f aca="false">Inputs!$C$7*$C$4</f>
        <v>171.396</v>
      </c>
      <c r="D20" s="46" t="s">
        <v>216</v>
      </c>
      <c r="F20" s="72"/>
      <c r="G20" s="14" t="str">
        <f aca="false">G5</f>
        <v>Lithoautotroph (aerobic); gas transfer (energy)</v>
      </c>
      <c r="H20" s="28" t="n">
        <f aca="false">H5*B$33</f>
        <v>85.11966983</v>
      </c>
      <c r="I20" s="28" t="n">
        <f aca="false">I5*C$33</f>
        <v>29.028582571974</v>
      </c>
      <c r="J20" s="76"/>
      <c r="K20" s="76"/>
      <c r="M20" s="75" t="n">
        <v>50</v>
      </c>
    </row>
    <row r="21" customFormat="false" ht="14.25" hidden="false" customHeight="true" outlineLevel="0" collapsed="false">
      <c r="A21" s="66" t="s">
        <v>217</v>
      </c>
      <c r="B21" s="73" t="n">
        <f aca="false">B20*B5</f>
        <v>277.66152</v>
      </c>
      <c r="C21" s="73" t="n">
        <f aca="false">C20*C5</f>
        <v>162.8262</v>
      </c>
      <c r="D21" s="46" t="s">
        <v>218</v>
      </c>
      <c r="F21" s="12" t="s">
        <v>181</v>
      </c>
      <c r="G21" s="14" t="str">
        <f aca="false">G6</f>
        <v>Lithoautotroph (anaerobic); gas transfer (energy)</v>
      </c>
      <c r="H21" s="28" t="n">
        <f aca="false">H6*B$28</f>
        <v>37.45322484</v>
      </c>
      <c r="I21" s="28" t="n">
        <f aca="false">I6*C$28</f>
        <v>311.86479842784</v>
      </c>
      <c r="J21" s="76"/>
      <c r="K21" s="76"/>
      <c r="M21" s="75" t="n">
        <v>200</v>
      </c>
    </row>
    <row r="22" customFormat="false" ht="14.25" hidden="false" customHeight="true" outlineLevel="0" collapsed="false">
      <c r="A22" s="12" t="s">
        <v>219</v>
      </c>
      <c r="B22" s="28" t="n">
        <f aca="false">B21*$B$6</f>
        <v>166.596912</v>
      </c>
      <c r="C22" s="28" t="n">
        <f aca="false">C21*$C$6</f>
        <v>122.11965</v>
      </c>
      <c r="D22" s="46" t="s">
        <v>220</v>
      </c>
      <c r="F22" s="12" t="str">
        <f aca="false">F7</f>
        <v>CH4_available</v>
      </c>
      <c r="G22" s="14" t="str">
        <f aca="false">G7</f>
        <v>Methanotroph (aerobic); gas transfer (carbon)</v>
      </c>
      <c r="H22" s="28" t="n">
        <f aca="false">H7*B$34</f>
        <v>388.965246948</v>
      </c>
      <c r="I22" s="28" t="n">
        <f aca="false">I7*C$34</f>
        <v>1467.59026328953</v>
      </c>
      <c r="J22" s="76"/>
      <c r="K22" s="76"/>
      <c r="M22" s="75" t="n">
        <v>200</v>
      </c>
    </row>
    <row r="23" customFormat="false" ht="14.25" hidden="false" customHeight="true" outlineLevel="0" collapsed="false">
      <c r="A23" s="12" t="s">
        <v>221</v>
      </c>
      <c r="B23" s="28" t="n">
        <f aca="false">B21*$B$7</f>
        <v>27.766152</v>
      </c>
      <c r="C23" s="28" t="n">
        <f aca="false">C21*$C$7</f>
        <v>8.14131</v>
      </c>
      <c r="D23" s="46" t="s">
        <v>222</v>
      </c>
      <c r="F23" s="12" t="str">
        <f aca="false">F8</f>
        <v>VFAs</v>
      </c>
      <c r="G23" s="14" t="str">
        <f aca="false">G8</f>
        <v>Heterotroph; OTR-limited</v>
      </c>
      <c r="H23" s="28" t="n">
        <f aca="false">H8*B$22</f>
        <v>166.596912</v>
      </c>
      <c r="I23" s="28" t="n">
        <f aca="false">I8*C$22</f>
        <v>122.11965</v>
      </c>
      <c r="J23" s="76"/>
      <c r="K23" s="76"/>
      <c r="M23" s="75" t="n">
        <v>200</v>
      </c>
    </row>
    <row r="24" customFormat="false" ht="14.25" hidden="false" customHeight="true" outlineLevel="0" collapsed="false">
      <c r="A24" s="12" t="s">
        <v>223</v>
      </c>
      <c r="B24" s="28" t="n">
        <f aca="false">B21*$B$8</f>
        <v>83.298456</v>
      </c>
      <c r="C24" s="28" t="n">
        <f aca="false">C21*$C$8</f>
        <v>32.56524</v>
      </c>
      <c r="D24" s="46" t="s">
        <v>224</v>
      </c>
      <c r="F24" s="12" t="str">
        <f aca="false">F9</f>
        <v>Wet_Organics</v>
      </c>
      <c r="G24" s="14" t="str">
        <f aca="false">G9</f>
        <v>Heterotroph (aerobic); OTR-limited</v>
      </c>
      <c r="H24" s="28" t="n">
        <f aca="false">H9*B$35</f>
        <v>25.7094</v>
      </c>
      <c r="I24" s="28" t="n">
        <f aca="false">I9*C$35</f>
        <v>42.849</v>
      </c>
      <c r="J24" s="76"/>
      <c r="K24" s="76"/>
      <c r="M24" s="75" t="n">
        <v>200</v>
      </c>
    </row>
    <row r="25" customFormat="false" ht="14.25" hidden="false" customHeight="true" outlineLevel="0" collapsed="false">
      <c r="A25" s="12" t="s">
        <v>225</v>
      </c>
      <c r="B25" s="28" t="n">
        <f aca="false">Inputs!$C$11*B9</f>
        <v>163.791096</v>
      </c>
      <c r="C25" s="28" t="n">
        <f aca="false">Inputs!$C$11*C9</f>
        <v>1474.119864</v>
      </c>
      <c r="D25" s="46" t="s">
        <v>226</v>
      </c>
      <c r="F25" s="12"/>
      <c r="G25" s="14" t="str">
        <f aca="false">G10</f>
        <v>Mixotroph (aerobic); OTR-limited</v>
      </c>
      <c r="H25" s="28" t="n">
        <f aca="false">H10*B$35</f>
        <v>8.5698</v>
      </c>
      <c r="I25" s="28" t="n">
        <f aca="false">I10*C$35</f>
        <v>128.547</v>
      </c>
      <c r="J25" s="76"/>
      <c r="K25" s="76"/>
      <c r="M25" s="75" t="n">
        <v>200</v>
      </c>
    </row>
    <row r="26" customFormat="false" ht="14.25" hidden="false" customHeight="true" outlineLevel="0" collapsed="false">
      <c r="A26" s="12" t="s">
        <v>227</v>
      </c>
      <c r="B26" s="28" t="n">
        <f aca="false">B25*$B$10</f>
        <v>121.20541104</v>
      </c>
      <c r="C26" s="28" t="n">
        <f aca="false">C25*$C$10</f>
        <v>1208.77828848</v>
      </c>
      <c r="D26" s="46" t="s">
        <v>228</v>
      </c>
      <c r="F26" s="12" t="str">
        <f aca="false">F11</f>
        <v>Cellulose</v>
      </c>
      <c r="G26" s="14" t="str">
        <f aca="false">G11</f>
        <v>Enzymatic; hydrolysis-limited</v>
      </c>
      <c r="H26" s="28" t="n">
        <f aca="false">H11*Inputs!$C$8</f>
        <v>614.24306</v>
      </c>
      <c r="I26" s="28" t="n">
        <f aca="false">I11*Inputs!$C$8</f>
        <v>614.24306</v>
      </c>
      <c r="J26" s="76"/>
      <c r="K26" s="76"/>
      <c r="M26" s="75" t="n">
        <v>200</v>
      </c>
    </row>
    <row r="27" customFormat="false" ht="14.25" hidden="false" customHeight="true" outlineLevel="0" collapsed="false">
      <c r="A27" s="12" t="s">
        <v>229</v>
      </c>
      <c r="B27" s="28" t="n">
        <f aca="false">B26*$B$11</f>
        <v>54.76828356</v>
      </c>
      <c r="C27" s="28" t="n">
        <f aca="false">C26*$C$11</f>
        <v>724.05819479952</v>
      </c>
      <c r="D27" s="46" t="s">
        <v>230</v>
      </c>
      <c r="F27" s="12" t="str">
        <f aca="false">F12</f>
        <v>Polyesters</v>
      </c>
      <c r="G27" s="14" t="str">
        <f aca="false">G12</f>
        <v>Enzymatic; depolymerization-limited</v>
      </c>
      <c r="H27" s="28" t="n">
        <f aca="false">H12*Inputs!$C$9</f>
        <v>225.59205</v>
      </c>
      <c r="I27" s="28" t="n">
        <f aca="false">I12*Inputs!$C$9</f>
        <v>225.59205</v>
      </c>
      <c r="J27" s="76"/>
      <c r="K27" s="76"/>
      <c r="M27" s="75" t="n">
        <v>200</v>
      </c>
    </row>
    <row r="28" customFormat="false" ht="14.25" hidden="false" customHeight="true" outlineLevel="0" collapsed="false">
      <c r="A28" s="12" t="s">
        <v>231</v>
      </c>
      <c r="B28" s="28" t="n">
        <f aca="false">B26*$B$12</f>
        <v>37.45322484</v>
      </c>
      <c r="C28" s="28" t="n">
        <f aca="false">C26*$C$12</f>
        <v>311.86479842784</v>
      </c>
      <c r="D28" s="46" t="s">
        <v>232</v>
      </c>
      <c r="F28" s="21" t="str">
        <f aca="false">F13</f>
        <v>Polyamides</v>
      </c>
      <c r="G28" s="23" t="str">
        <f aca="false">G13</f>
        <v>Enzymatic; depolymerization-limited</v>
      </c>
      <c r="H28" s="36" t="n">
        <f aca="false">H13*Inputs!$C$10</f>
        <v>80.54025</v>
      </c>
      <c r="I28" s="36" t="n">
        <f aca="false">I13*Inputs!$C$10</f>
        <v>80.54025</v>
      </c>
      <c r="J28" s="77"/>
      <c r="K28" s="77"/>
      <c r="M28" s="75" t="n">
        <v>4000</v>
      </c>
    </row>
    <row r="29" customFormat="false" ht="14.25" hidden="false" customHeight="true" outlineLevel="0" collapsed="false">
      <c r="A29" s="12" t="s">
        <v>233</v>
      </c>
      <c r="B29" s="28" t="n">
        <f aca="false">B26*$B$13</f>
        <v>28.98390264</v>
      </c>
      <c r="C29" s="28" t="n">
        <f aca="false">C26*$C$13</f>
        <v>172.85529525264</v>
      </c>
      <c r="D29" s="46" t="s">
        <v>234</v>
      </c>
    </row>
    <row r="30" customFormat="false" ht="14.25" hidden="false" customHeight="true" outlineLevel="0" collapsed="false">
      <c r="A30" s="12" t="s">
        <v>235</v>
      </c>
      <c r="B30" s="28" t="n">
        <f aca="false">Inputs!$C$6+B24+B29</f>
        <v>680.95735864</v>
      </c>
      <c r="C30" s="28" t="n">
        <f aca="false">Inputs!$C$6+C24+C29</f>
        <v>774.09553525264</v>
      </c>
      <c r="D30" s="46" t="s">
        <v>236</v>
      </c>
    </row>
    <row r="31" customFormat="false" ht="14.25" hidden="false" customHeight="true" outlineLevel="0" collapsed="false">
      <c r="A31" s="12" t="s">
        <v>237</v>
      </c>
      <c r="B31" s="28" t="n">
        <f aca="false">B30*B14</f>
        <v>340.47867932</v>
      </c>
      <c r="C31" s="28" t="n">
        <f aca="false">C30*C14</f>
        <v>735.390758490008</v>
      </c>
      <c r="D31" s="29" t="s">
        <v>238</v>
      </c>
    </row>
    <row r="32" customFormat="false" ht="14.25" hidden="false" customHeight="true" outlineLevel="0" collapsed="false">
      <c r="A32" s="12" t="s">
        <v>239</v>
      </c>
      <c r="B32" s="28" t="n">
        <f aca="false">B31*B15</f>
        <v>306.430811388</v>
      </c>
      <c r="C32" s="28" t="n">
        <f aca="false">C31*C15</f>
        <v>735.390758490008</v>
      </c>
      <c r="D32" s="46" t="s">
        <v>240</v>
      </c>
    </row>
    <row r="33" customFormat="false" ht="14.25" hidden="false" customHeight="true" outlineLevel="0" collapsed="false">
      <c r="A33" s="12" t="s">
        <v>241</v>
      </c>
      <c r="B33" s="28" t="n">
        <f aca="false">B30-B31</f>
        <v>340.47867932</v>
      </c>
      <c r="C33" s="28" t="n">
        <f aca="false">C30-C31</f>
        <v>38.704776762632</v>
      </c>
      <c r="D33" s="46" t="s">
        <v>242</v>
      </c>
    </row>
    <row r="34" customFormat="false" ht="14.25" hidden="false" customHeight="true" outlineLevel="0" collapsed="false">
      <c r="A34" s="12" t="s">
        <v>243</v>
      </c>
      <c r="B34" s="28" t="n">
        <f aca="false">B23+B27+B32</f>
        <v>388.965246948</v>
      </c>
      <c r="C34" s="28" t="n">
        <f aca="false">C23+C27+C32</f>
        <v>1467.59026328953</v>
      </c>
      <c r="D34" s="46" t="s">
        <v>244</v>
      </c>
    </row>
    <row r="35" customFormat="false" ht="14.25" hidden="false" customHeight="true" outlineLevel="0" collapsed="false">
      <c r="A35" s="12" t="s">
        <v>245</v>
      </c>
      <c r="B35" s="28" t="n">
        <f aca="false">Inputs!$C$7-B20</f>
        <v>34.2792</v>
      </c>
      <c r="C35" s="28" t="n">
        <f aca="false">Inputs!$C$7-C20</f>
        <v>171.396</v>
      </c>
      <c r="D35" s="46" t="s">
        <v>246</v>
      </c>
    </row>
    <row r="36" customFormat="false" ht="14.25" hidden="false" customHeight="true" outlineLevel="0" collapsed="false">
      <c r="A36" s="12" t="s">
        <v>247</v>
      </c>
      <c r="B36" s="28" t="n">
        <f aca="false">Inputs!$C$11-B25</f>
        <v>1474.119864</v>
      </c>
      <c r="C36" s="28" t="n">
        <f aca="false">Inputs!$C$11-C25</f>
        <v>163.791096</v>
      </c>
      <c r="D36" s="46" t="s">
        <v>248</v>
      </c>
    </row>
    <row r="37" customFormat="false" ht="14.25" hidden="false" customHeight="true" outlineLevel="0" collapsed="false">
      <c r="A37" s="12" t="s">
        <v>249</v>
      </c>
      <c r="B37" s="28" t="n">
        <f aca="false">B20-B21</f>
        <v>30.85128</v>
      </c>
      <c r="C37" s="28" t="n">
        <f aca="false">C20-C21</f>
        <v>8.56980000000002</v>
      </c>
      <c r="D37" s="29" t="s">
        <v>250</v>
      </c>
    </row>
    <row r="38" customFormat="false" ht="14.25" hidden="false" customHeight="true" outlineLevel="0" collapsed="false">
      <c r="A38" s="12" t="s">
        <v>251</v>
      </c>
      <c r="B38" s="28" t="n">
        <f aca="false">B25-B26</f>
        <v>42.58568496</v>
      </c>
      <c r="C38" s="28" t="n">
        <f aca="false">C25-C26</f>
        <v>265.34157552</v>
      </c>
      <c r="D38" s="46" t="s">
        <v>252</v>
      </c>
    </row>
    <row r="39" customFormat="false" ht="14.25" hidden="false" customHeight="true" outlineLevel="0" collapsed="false">
      <c r="A39" s="21" t="s">
        <v>253</v>
      </c>
      <c r="B39" s="36" t="n">
        <f aca="false">B31-B32</f>
        <v>34.047867932</v>
      </c>
      <c r="C39" s="36" t="n">
        <f aca="false">C31-C32</f>
        <v>0</v>
      </c>
      <c r="D39" s="78" t="s">
        <v>254</v>
      </c>
    </row>
  </sheetData>
  <mergeCells count="28">
    <mergeCell ref="A1:D1"/>
    <mergeCell ref="F1:K1"/>
    <mergeCell ref="A2:D2"/>
    <mergeCell ref="F2:K2"/>
    <mergeCell ref="J3:K3"/>
    <mergeCell ref="F4:F5"/>
    <mergeCell ref="J4:J5"/>
    <mergeCell ref="K4:K5"/>
    <mergeCell ref="F9:F10"/>
    <mergeCell ref="J9:J10"/>
    <mergeCell ref="K9:K10"/>
    <mergeCell ref="F16:K16"/>
    <mergeCell ref="A17:D17"/>
    <mergeCell ref="F17:I17"/>
    <mergeCell ref="A18:D18"/>
    <mergeCell ref="J18:K18"/>
    <mergeCell ref="F19:F20"/>
    <mergeCell ref="J19:K19"/>
    <mergeCell ref="J20:K20"/>
    <mergeCell ref="J21:K21"/>
    <mergeCell ref="J22:K22"/>
    <mergeCell ref="J23:K23"/>
    <mergeCell ref="F24:F25"/>
    <mergeCell ref="J24:K24"/>
    <mergeCell ref="J25:K25"/>
    <mergeCell ref="J26:K26"/>
    <mergeCell ref="J27:K27"/>
    <mergeCell ref="J28:K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0" activeCellId="0" sqref="A30"/>
    </sheetView>
  </sheetViews>
  <sheetFormatPr defaultColWidth="8.7578125" defaultRowHeight="14.25" zeroHeight="false" outlineLevelRow="0" outlineLevelCol="0"/>
  <cols>
    <col collapsed="false" customWidth="true" hidden="false" outlineLevel="0" max="1" min="1" style="6" width="35.22"/>
    <col collapsed="false" customWidth="true" hidden="false" outlineLevel="0" max="2" min="2" style="6" width="40.56"/>
    <col collapsed="false" customWidth="true" hidden="false" outlineLevel="0" max="3" min="3" style="6" width="16.22"/>
    <col collapsed="false" customWidth="true" hidden="false" outlineLevel="0" max="4" min="4" style="6" width="19.44"/>
    <col collapsed="false" customWidth="true" hidden="false" outlineLevel="0" max="5" min="5" style="6" width="26.77"/>
    <col collapsed="false" customWidth="true" hidden="false" outlineLevel="0" max="6" min="6" style="6" width="13.22"/>
    <col collapsed="false" customWidth="true" hidden="false" outlineLevel="0" max="7" min="7" style="6" width="16.22"/>
    <col collapsed="false" customWidth="true" hidden="false" outlineLevel="0" max="8" min="8" style="6" width="19.44"/>
    <col collapsed="false" customWidth="true" hidden="false" outlineLevel="0" max="9" min="9" style="6" width="26.77"/>
    <col collapsed="false" customWidth="true" hidden="false" outlineLevel="0" max="10" min="10" style="6" width="13"/>
    <col collapsed="false" customWidth="true" hidden="false" outlineLevel="0" max="11" min="11" style="6" width="63.78"/>
    <col collapsed="false" customWidth="false" hidden="false" outlineLevel="0" max="16384" min="12" style="6" width="8.76"/>
  </cols>
  <sheetData>
    <row r="1" customFormat="false" ht="15" hidden="false" customHeight="true" outlineLevel="0" collapsed="false">
      <c r="A1" s="79" t="s">
        <v>255</v>
      </c>
      <c r="B1" s="79"/>
      <c r="C1" s="79"/>
      <c r="D1" s="79"/>
      <c r="E1" s="79"/>
      <c r="F1" s="79"/>
      <c r="G1" s="79"/>
      <c r="H1" s="79"/>
      <c r="I1" s="79"/>
      <c r="J1" s="79"/>
      <c r="K1" s="79"/>
    </row>
    <row r="2" customFormat="false" ht="14.25" hidden="false" customHeight="true" outlineLevel="0" collapsed="false">
      <c r="A2" s="80" t="s">
        <v>256</v>
      </c>
      <c r="B2" s="80"/>
      <c r="C2" s="81" t="s">
        <v>78</v>
      </c>
      <c r="D2" s="81"/>
      <c r="E2" s="81"/>
      <c r="F2" s="81"/>
      <c r="G2" s="81" t="s">
        <v>79</v>
      </c>
      <c r="H2" s="81"/>
      <c r="I2" s="81"/>
      <c r="J2" s="81"/>
      <c r="K2" s="82"/>
    </row>
    <row r="3" customFormat="false" ht="14.25" hidden="false" customHeight="true" outlineLevel="0" collapsed="false">
      <c r="A3" s="42" t="s">
        <v>257</v>
      </c>
      <c r="B3" s="83" t="s">
        <v>258</v>
      </c>
      <c r="C3" s="84" t="s">
        <v>259</v>
      </c>
      <c r="D3" s="10" t="s">
        <v>260</v>
      </c>
      <c r="E3" s="10" t="s">
        <v>261</v>
      </c>
      <c r="F3" s="11" t="s">
        <v>262</v>
      </c>
      <c r="G3" s="85" t="s">
        <v>259</v>
      </c>
      <c r="H3" s="10" t="s">
        <v>260</v>
      </c>
      <c r="I3" s="10" t="s">
        <v>261</v>
      </c>
      <c r="J3" s="11" t="s">
        <v>263</v>
      </c>
      <c r="K3" s="86" t="s">
        <v>264</v>
      </c>
    </row>
    <row r="4" customFormat="false" ht="14.25" hidden="false" customHeight="true" outlineLevel="0" collapsed="false">
      <c r="A4" s="12" t="s">
        <v>64</v>
      </c>
      <c r="B4" s="87" t="s">
        <v>265</v>
      </c>
      <c r="C4" s="88" t="n">
        <f aca="false">F4*Inputs!$C$3/1000</f>
        <v>0.05475</v>
      </c>
      <c r="D4" s="13" t="n">
        <f aca="false">(Parameters!$C$16*Parameters!$C$17/Constants!$B$4)</f>
        <v>0.3</v>
      </c>
      <c r="E4" s="13" t="n">
        <f aca="false">(Parameters!$C$30/Constants!$B$8)</f>
        <v>1.09375</v>
      </c>
      <c r="F4" s="89" t="n">
        <f aca="false">((Parameters!$C$16*Parameters!$C$17/Constants!$B$4)*Constants!$B$8)</f>
        <v>0.15</v>
      </c>
      <c r="G4" s="90" t="n">
        <f aca="false">J4*Inputs!$C$3/1000</f>
        <v>0.38325</v>
      </c>
      <c r="H4" s="13" t="n">
        <f aca="false">(Parameters!$D$16*Parameters!$D$17/Constants!$B$4)</f>
        <v>2.1</v>
      </c>
      <c r="I4" s="13" t="n">
        <f aca="false">(Parameters!$D$30/Constants!$B$8)</f>
        <v>1.26865671641791</v>
      </c>
      <c r="J4" s="89" t="n">
        <f aca="false">((Parameters!$D$16*Parameters!$D$17/Constants!$B$4)*Constants!$B$8)</f>
        <v>1.05</v>
      </c>
      <c r="K4" s="91" t="s">
        <v>266</v>
      </c>
    </row>
    <row r="5" customFormat="false" ht="14.25" hidden="false" customHeight="true" outlineLevel="0" collapsed="false">
      <c r="A5" s="12" t="s">
        <v>64</v>
      </c>
      <c r="B5" s="87" t="s">
        <v>267</v>
      </c>
      <c r="C5" s="88" t="n">
        <f aca="false">F5*Inputs!$C$3/1000</f>
        <v>0.0969041836552691</v>
      </c>
      <c r="D5" s="13" t="n">
        <f aca="false">((MIN((Parameters!$C$4*((Constants!$B$15*Constants!$B$3/Constants!$B$4)*Parameters!$C$10)*Constants!$B$5*Parameters!$C$5),(MIN((Parameters!$C$4*((Constants!$B$12*Constants!$B$3/Constants!$B$4)*Parameters!$C$8)*Constants!$B$5*Parameters!$C$5),2*(Parameters!$C$4*((Constants!$B$11*Constants!$B$3/Constants!$B$4)*Parameters!$C$9)*Constants!$B$5*Parameters!$C$5))/Parameters!$C$11))*Constants!$B$7)*Parameters!$C$31/Constants!$B$8)</f>
        <v>0.321807168635182</v>
      </c>
      <c r="E5" s="13" t="n">
        <f aca="false">(Parameters!$C$31/Constants!$B$8)</f>
        <v>1.21212121212121</v>
      </c>
      <c r="F5" s="89" t="n">
        <f aca="false">(MIN((Parameters!$C$4*((Constants!$B$15*Constants!$B$3/Constants!$B$4)*Parameters!$C$10)*Constants!$B$5*Parameters!$C$5),(MIN((Parameters!$C$4*((Constants!$B$12*Constants!$B$3/Constants!$B$4)*Parameters!$C$8)*Constants!$B$5*Parameters!$C$5),2*(Parameters!$C$4*((Constants!$B$11*Constants!$B$3/Constants!$B$4)*Parameters!$C$9)*Constants!$B$5*Parameters!$C$5))/Parameters!$C$11))*Constants!$B$7)</f>
        <v>0.265490914124025</v>
      </c>
      <c r="G5" s="90" t="n">
        <f aca="false">J5*Inputs!$C$3/1000</f>
        <v>1.16623962585031</v>
      </c>
      <c r="H5" s="13" t="n">
        <f aca="false">((MIN((Parameters!$D$4*((Constants!$B$15*Constants!$B$3/Constants!$B$4)*Parameters!$D$10)*Constants!$B$5*Parameters!$D$5),(MIN((Parameters!$D$4*((Constants!$B$12*Constants!$B$3/Constants!$B$4)*Parameters!$D$8)*Constants!$B$5*Parameters!$D$5),2*(Parameters!$D$4*((Constants!$B$11*Constants!$B$3/Constants!$B$4)*Parameters!$D$9)*Constants!$B$5*Parameters!$D$5))/Parameters!$D$11))*Constants!$B$7)*Parameters!$D$31/Constants!$B$8)</f>
        <v>4.05358283366496</v>
      </c>
      <c r="I5" s="13" t="n">
        <f aca="false">(Parameters!$D$31/Constants!$B$8)</f>
        <v>1.26865671641791</v>
      </c>
      <c r="J5" s="89" t="n">
        <f aca="false">(MIN((Parameters!$D$4*((Constants!$B$15*Constants!$B$3/Constants!$B$4)*Parameters!$D$10)*Constants!$B$5*Parameters!$D$5),(MIN((Parameters!$D$4*((Constants!$B$12*Constants!$B$3/Constants!$B$4)*Parameters!$D$8)*Constants!$B$5*Parameters!$D$5),2*(Parameters!$D$4*((Constants!$B$11*Constants!$B$3/Constants!$B$4)*Parameters!$D$9)*Constants!$B$5*Parameters!$D$5))/Parameters!$D$11))*Constants!$B$7)</f>
        <v>3.19517705712414</v>
      </c>
      <c r="K5" s="91" t="s">
        <v>268</v>
      </c>
    </row>
    <row r="6" customFormat="false" ht="14.25" hidden="false" customHeight="true" outlineLevel="0" collapsed="false">
      <c r="A6" s="12" t="s">
        <v>269</v>
      </c>
      <c r="B6" s="87" t="s">
        <v>270</v>
      </c>
      <c r="C6" s="88" t="n">
        <f aca="false">F6*Inputs!$C$3/1000</f>
        <v>0.577418209496713</v>
      </c>
      <c r="D6" s="13" t="n">
        <f aca="false">((Parameters!$C$4*((Constants!$B$14*Constants!$B$3/Constants!$B$4)*Parameters!$C$12)*Constants!$B$5*Parameters!$C$5)*Constants!$B$7)*Parameters!$C$32/Constants!$B$8</f>
        <v>0.447726706769227</v>
      </c>
      <c r="E6" s="13" t="n">
        <f aca="false">(Parameters!$C$32/Constants!$B$8)</f>
        <v>0.283018867924528</v>
      </c>
      <c r="F6" s="89" t="n">
        <f aca="false">(Parameters!$C$4*((Constants!$B$14*Constants!$B$3/Constants!$B$4)*Parameters!$C$12)*Constants!$B$5*Parameters!$C$5)*Constants!$B$7</f>
        <v>1.58196769725127</v>
      </c>
      <c r="G6" s="90" t="n">
        <f aca="false">J6*Inputs!$C$3/1000</f>
        <v>7.69890945995617</v>
      </c>
      <c r="H6" s="13" t="n">
        <f aca="false">((Parameters!$D$4*((Constants!$B$14*Constants!$B$3/Constants!$B$4)*Parameters!$D$12)*Constants!$B$5*Parameters!$D$5)*Constants!$B$7)*Parameters!$D$32/Constants!$B$8</f>
        <v>7.81218615926552</v>
      </c>
      <c r="I6" s="13" t="n">
        <f aca="false">(Parameters!$D$32/Constants!$B$8)</f>
        <v>0.37037037037037</v>
      </c>
      <c r="J6" s="89" t="n">
        <f aca="false">(Parameters!$D$4*((Constants!$B$14*Constants!$B$3/Constants!$B$4)*Parameters!$D$12)*Constants!$B$5*Parameters!$D$5)*Constants!$B$7</f>
        <v>21.0929026300169</v>
      </c>
      <c r="K6" s="91" t="s">
        <v>271</v>
      </c>
    </row>
    <row r="7" customFormat="false" ht="14.25" hidden="false" customHeight="true" outlineLevel="0" collapsed="false">
      <c r="A7" s="12" t="s">
        <v>272</v>
      </c>
      <c r="B7" s="87" t="s">
        <v>273</v>
      </c>
      <c r="C7" s="88" t="n">
        <f aca="false">F7*Inputs!$C$3/1000</f>
        <v>0.535741328124987</v>
      </c>
      <c r="D7" s="13" t="n">
        <f aca="false">((MIN((Parameters!$C$4*((Constants!$B$13*Constants!$B$3/Constants!$B$4)*Parameters!$C$13)*Constants!$B$5*Parameters!$C$5),(Parameters!$C$4*((Constants!$B$11*Constants!$B$3/Constants!$B$4)*Parameters!$C$7)*Constants!$B$5*Parameters!$C$5)/Parameters!$C$14)*Constants!$B$7)*Parameters!$C$33/Constants!$B$8)</f>
        <v>1.32341221858856</v>
      </c>
      <c r="E7" s="13" t="n">
        <f aca="false">(Parameters!$C$33/Constants!$B$8)</f>
        <v>0.901639344262295</v>
      </c>
      <c r="F7" s="89" t="n">
        <f aca="false">(MIN((Parameters!$C$4*((Constants!$B$13*Constants!$B$3/Constants!$B$4)*Parameters!$C$13)*Constants!$B$5*Parameters!$C$5),(Parameters!$C$4*((Constants!$B$11*Constants!$B$3/Constants!$B$4)*Parameters!$C$7)*Constants!$B$5*Parameters!$C$5)/Parameters!$C$14)*Constants!$B$7)</f>
        <v>1.4677844606164</v>
      </c>
      <c r="G7" s="90" t="n">
        <f aca="false">J7*Inputs!$C$3/1000</f>
        <v>2.85728708333326</v>
      </c>
      <c r="H7" s="13" t="n">
        <f aca="false">((MIN((Parameters!$D$4*((Constants!$B$13*Constants!$B$3/Constants!$B$4)*Parameters!$D$13)*Constants!$B$5*Parameters!$D$5),(Parameters!$D$4*((Constants!$B$11*Constants!$B$3/Constants!$B$4)*Parameters!$D$7)*Constants!$B$5*Parameters!$D$5)/Parameters!$D$14)*Constants!$B$7)*Parameters!$D$33/Constants!$B$8)</f>
        <v>8.07669756106381</v>
      </c>
      <c r="I7" s="13" t="n">
        <f aca="false">(Parameters!$D$33/Constants!$B$8)</f>
        <v>1.03174603174603</v>
      </c>
      <c r="J7" s="89" t="n">
        <f aca="false">(MIN((Parameters!$D$4*((Constants!$B$13*Constants!$B$3/Constants!$B$4)*Parameters!$D$13)*Constants!$B$5*Parameters!$D$5),(Parameters!$D$4*((Constants!$B$11*Constants!$B$3/Constants!$B$4)*Parameters!$D$7)*Constants!$B$5*Parameters!$D$5)/Parameters!$D$14)*Constants!$B$7)</f>
        <v>7.82818378995415</v>
      </c>
      <c r="K7" s="91" t="s">
        <v>274</v>
      </c>
    </row>
    <row r="8" customFormat="false" ht="14.25" hidden="false" customHeight="true" outlineLevel="0" collapsed="false">
      <c r="A8" s="12" t="s">
        <v>189</v>
      </c>
      <c r="B8" s="87" t="s">
        <v>275</v>
      </c>
      <c r="C8" s="88" t="n">
        <f aca="false">F8*Inputs!$C$3/1000</f>
        <v>1.60722398437496</v>
      </c>
      <c r="D8" s="13" t="n">
        <f aca="false">((((Parameters!$C$4*((Constants!$B$11*Constants!$B$3/Constants!$B$4)*Parameters!$C$7)*Constants!$B$5*Parameters!$C$6)/Parameters!$C$15)*Constants!$B$7)*Parameters!$C$34/Constants!$B$8)</f>
        <v>3.97023665576568</v>
      </c>
      <c r="E8" s="13" t="n">
        <f aca="false">(Parameters!$C$34/Constants!$B$8)</f>
        <v>0.901639344262295</v>
      </c>
      <c r="F8" s="89" t="n">
        <f aca="false">(((Parameters!$C$4*((Constants!$B$11*Constants!$B$3/Constants!$B$4)*Parameters!$C$7)*Constants!$B$5*Parameters!$C$6)/Parameters!$C$15)*Constants!$B$7)</f>
        <v>4.40335338184921</v>
      </c>
      <c r="G8" s="90" t="n">
        <f aca="false">J8*Inputs!$C$3/1000</f>
        <v>7.14321770833316</v>
      </c>
      <c r="H8" s="13" t="n">
        <f aca="false">((((Parameters!$D$4*((Constants!$B$11*Constants!$B$3/Constants!$B$4)*Parameters!$D$7)*Constants!$B$5*Parameters!$D$6)/Parameters!$D$15)*Constants!$B$7)*Parameters!$D$34/Constants!$B$8)</f>
        <v>20.1917439026595</v>
      </c>
      <c r="I8" s="13" t="n">
        <f aca="false">(Parameters!$D$34/Constants!$B$8)</f>
        <v>1.03174603174603</v>
      </c>
      <c r="J8" s="89" t="n">
        <f aca="false">(((Parameters!$D$4*((Constants!$B$11*Constants!$B$3/Constants!$B$4)*Parameters!$D$7)*Constants!$B$5*Parameters!$D$6)/Parameters!$D$15)*Constants!$B$7)</f>
        <v>19.5704594748854</v>
      </c>
      <c r="K8" s="91" t="s">
        <v>276</v>
      </c>
    </row>
    <row r="9" customFormat="false" ht="14.25" hidden="false" customHeight="true" outlineLevel="0" collapsed="false">
      <c r="A9" s="12" t="s">
        <v>66</v>
      </c>
      <c r="B9" s="87" t="s">
        <v>275</v>
      </c>
      <c r="C9" s="88" t="n">
        <f aca="false">F9*Inputs!$C$3/1000</f>
        <v>1.60722398437496</v>
      </c>
      <c r="D9" s="13" t="n">
        <f aca="false">((((Parameters!$C$4*((Constants!$B$11*Constants!$B$3/Constants!$B$4)*Parameters!$C$7)*Constants!$B$5*Parameters!$C$6)/Parameters!$C$15)*Constants!$B$7)*Parameters!$C$34/Constants!$B$8)</f>
        <v>3.97023665576568</v>
      </c>
      <c r="E9" s="13" t="n">
        <f aca="false">(Parameters!$C$34/Constants!$B$8)</f>
        <v>0.901639344262295</v>
      </c>
      <c r="F9" s="89" t="n">
        <f aca="false">(((Parameters!$C$4*((Constants!$B$11*Constants!$B$3/Constants!$B$4)*Parameters!$C$7)*Constants!$B$5*Parameters!$C$6)/Parameters!$C$15)*Constants!$B$7)</f>
        <v>4.40335338184921</v>
      </c>
      <c r="G9" s="90" t="n">
        <f aca="false">J9*Inputs!$C$3/1000</f>
        <v>7.14321770833316</v>
      </c>
      <c r="H9" s="13" t="n">
        <f aca="false">((((Parameters!$D$4*((Constants!$B$11*Constants!$B$3/Constants!$B$4)*Parameters!$D$7)*Constants!$B$5*Parameters!$D$6)/Parameters!$D$15)*Constants!$B$7)*Parameters!$D$34/Constants!$B$8)</f>
        <v>20.1917439026595</v>
      </c>
      <c r="I9" s="13" t="n">
        <f aca="false">(Parameters!$D$34/Constants!$B$8)</f>
        <v>1.03174603174603</v>
      </c>
      <c r="J9" s="89" t="n">
        <f aca="false">(((Parameters!$D$4*((Constants!$B$11*Constants!$B$3/Constants!$B$4)*Parameters!$D$7)*Constants!$B$5*Parameters!$D$6)/Parameters!$D$15)*Constants!$B$7)</f>
        <v>19.5704594748854</v>
      </c>
      <c r="K9" s="91" t="s">
        <v>277</v>
      </c>
    </row>
    <row r="10" customFormat="false" ht="14.25" hidden="false" customHeight="true" outlineLevel="0" collapsed="false">
      <c r="A10" s="12" t="s">
        <v>66</v>
      </c>
      <c r="B10" s="87" t="s">
        <v>278</v>
      </c>
      <c r="C10" s="88" t="n">
        <f aca="false">F10*Inputs!$C$3/1000</f>
        <v>1.60722398437496</v>
      </c>
      <c r="D10" s="13" t="n">
        <f aca="false">(((((Parameters!$C$4*((Constants!$B$11*Constants!$B$3/Constants!$B$4)*Parameters!$C$7)*Constants!$B$5*Parameters!$C$6)/Parameters!$C$15)*Constants!$B$7)*Parameters!$C$34/Constants!$B$8)*(1+Parameters!$C$37))</f>
        <v>4.56577215413053</v>
      </c>
      <c r="E10" s="13" t="n">
        <f aca="false">((Parameters!$C$34/Constants!$B$8)*(1+Parameters!$C$37))</f>
        <v>1.03688524590164</v>
      </c>
      <c r="F10" s="89" t="n">
        <f aca="false">(((Parameters!$C$4*((Constants!$B$11*Constants!$B$3/Constants!$B$4)*Parameters!$C$7)*Constants!$B$5*Parameters!$C$6)/Parameters!$C$15)*Constants!$B$7)</f>
        <v>4.40335338184921</v>
      </c>
      <c r="G10" s="90" t="n">
        <f aca="false">J10*Inputs!$C$3/1000</f>
        <v>7.14321770833316</v>
      </c>
      <c r="H10" s="13" t="n">
        <f aca="false">(((((Parameters!$D$4*((Constants!$B$11*Constants!$B$3/Constants!$B$4)*Parameters!$D$7)*Constants!$B$5*Parameters!$D$6)/Parameters!$D$15)*Constants!$B$7)*Parameters!$D$34/Constants!$B$8)*(1+Parameters!$D$37))</f>
        <v>27.2588542685903</v>
      </c>
      <c r="I10" s="13" t="n">
        <f aca="false">((Parameters!$D$34/Constants!$B$8)*(1+Parameters!$D$37))</f>
        <v>1.39285714285714</v>
      </c>
      <c r="J10" s="89" t="n">
        <f aca="false">(((Parameters!$D$4*((Constants!$B$11*Constants!$B$3/Constants!$B$4)*Parameters!$D$7)*Constants!$B$5*Parameters!$D$6)/Parameters!$D$15)*Constants!$B$7)</f>
        <v>19.5704594748854</v>
      </c>
      <c r="K10" s="91" t="s">
        <v>279</v>
      </c>
    </row>
    <row r="11" customFormat="false" ht="14.25" hidden="false" customHeight="true" outlineLevel="0" collapsed="false">
      <c r="A11" s="12" t="s">
        <v>66</v>
      </c>
      <c r="B11" s="87" t="s">
        <v>280</v>
      </c>
      <c r="C11" s="88" t="n">
        <f aca="false">F11*Inputs!$C$3/1000</f>
        <v>0.1825</v>
      </c>
      <c r="D11" s="13" t="n">
        <v>0</v>
      </c>
      <c r="E11" s="13" t="n">
        <v>0</v>
      </c>
      <c r="F11" s="89" t="n">
        <f aca="false">Parameters!C18/Parameters!C19</f>
        <v>0.5</v>
      </c>
      <c r="G11" s="90" t="n">
        <f aca="false">J11*Inputs!$C$3/1000</f>
        <v>0.73</v>
      </c>
      <c r="H11" s="13" t="n">
        <v>0</v>
      </c>
      <c r="I11" s="13" t="n">
        <v>0</v>
      </c>
      <c r="J11" s="89" t="n">
        <f aca="false">Parameters!D18/Parameters!D19</f>
        <v>2</v>
      </c>
      <c r="K11" s="91" t="s">
        <v>281</v>
      </c>
    </row>
    <row r="12" customFormat="false" ht="14.25" hidden="false" customHeight="true" outlineLevel="0" collapsed="false">
      <c r="A12" s="12" t="s">
        <v>68</v>
      </c>
      <c r="B12" s="87" t="s">
        <v>282</v>
      </c>
      <c r="C12" s="88" t="n">
        <f aca="false">F12*Inputs!$C$3/1000</f>
        <v>0.4015</v>
      </c>
      <c r="D12" s="13" t="n">
        <f aca="false">((Parameters!$C$21*Parameters!$C$22*Parameters!$C$27)*MAX(0,1-Parameters!$C$29*MAX(0,(Parameters!$C$21/(Constants!$B$9*1000))-Parameters!$C$28))*Parameters!$C$35/Constants!$B$8)</f>
        <v>0.916666666666667</v>
      </c>
      <c r="E12" s="13" t="n">
        <f aca="false">(Parameters!$C$35/Constants!$B$8)</f>
        <v>0.833333333333333</v>
      </c>
      <c r="F12" s="89" t="n">
        <f aca="false">(Parameters!$C$21*Parameters!$C$22*Parameters!$C$27*MAX(0,1-Parameters!$C$29*MAX(0,(Parameters!$C$21/(Constants!$B$9*1000))-Parameters!$C$28)))</f>
        <v>1.1</v>
      </c>
      <c r="G12" s="90" t="n">
        <f aca="false">J12*Inputs!$C$3/1000</f>
        <v>2.92138108108108</v>
      </c>
      <c r="H12" s="13" t="n">
        <f aca="false">((Parameters!$D$21*Parameters!$D$22*Parameters!$D$27)*MAX(0,1-Parameters!$D$29*MAX(0,(Parameters!$D$21/(Constants!$B$9*1000))-Parameters!$D$28))*Parameters!$D$35/Constants!$B$8)</f>
        <v>7.74559721011334</v>
      </c>
      <c r="I12" s="13" t="n">
        <f aca="false">(Parameters!$D$35/Constants!$B$8)</f>
        <v>0.967741935483871</v>
      </c>
      <c r="J12" s="89" t="n">
        <f aca="false">(Parameters!$D$21*Parameters!$D$22*Parameters!$D$27*MAX(0,1-Parameters!$D$29*MAX(0,(Parameters!$D$21/(Constants!$B$9*1000))-Parameters!$D$28)))</f>
        <v>8.00378378378378</v>
      </c>
      <c r="K12" s="92" t="s">
        <v>283</v>
      </c>
    </row>
    <row r="13" customFormat="false" ht="14.25" hidden="false" customHeight="true" outlineLevel="0" collapsed="false">
      <c r="A13" s="12" t="s">
        <v>70</v>
      </c>
      <c r="B13" s="87" t="s">
        <v>284</v>
      </c>
      <c r="C13" s="88" t="n">
        <f aca="false">F13*Inputs!$C$3/1000</f>
        <v>0.169725</v>
      </c>
      <c r="D13" s="13" t="n">
        <f aca="false">((Parameters!$C$23*Parameters!$C$24*Parameters!$C$27)*MAX(0,1-Parameters!$C$29*MAX(0,(Parameters!$C$23/(Constants!$B$10*1000))-Parameters!$C$28))*Parameters!$C$35/Constants!$B$8)</f>
        <v>0.3875</v>
      </c>
      <c r="E13" s="13" t="n">
        <f aca="false">(Parameters!$C$35/Constants!$B$8)</f>
        <v>0.833333333333333</v>
      </c>
      <c r="F13" s="89" t="n">
        <f aca="false">(Parameters!$C$23*Parameters!$C$24*Parameters!$C$27*MAX(0,1-Parameters!$C$29*MAX(0,(Parameters!$C$23/(Constants!$B$10*1000))-Parameters!$C$28)))</f>
        <v>0.465</v>
      </c>
      <c r="G13" s="90" t="n">
        <f aca="false">J13*Inputs!$C$3/1000</f>
        <v>2.7393104</v>
      </c>
      <c r="H13" s="13" t="n">
        <f aca="false">((Parameters!$D$23*Parameters!$D$24*Parameters!$D$27)*MAX(0,1-Parameters!$D$29*MAX(0,(Parameters!$D$23/(Constants!$B$10*1000))-Parameters!$D$28))*Parameters!$D$35/Constants!$B$8)</f>
        <v>7.26286451612903</v>
      </c>
      <c r="I13" s="13" t="n">
        <f aca="false">(Parameters!$D$35/Constants!$B$8)</f>
        <v>0.967741935483871</v>
      </c>
      <c r="J13" s="89" t="n">
        <f aca="false">(Parameters!$D$23*Parameters!$D$24*Parameters!$D$27*MAX(0,1-Parameters!$D$29*MAX(0,(Parameters!$D$23/(Constants!$B$10*1000))-Parameters!$D$28)))</f>
        <v>7.50496</v>
      </c>
      <c r="K13" s="92" t="s">
        <v>285</v>
      </c>
    </row>
    <row r="14" customFormat="false" ht="14.25" hidden="false" customHeight="true" outlineLevel="0" collapsed="false">
      <c r="A14" s="12" t="s">
        <v>72</v>
      </c>
      <c r="B14" s="87" t="s">
        <v>284</v>
      </c>
      <c r="C14" s="88" t="n">
        <f aca="false">F14*Inputs!$C$3/1000</f>
        <v>0.033945</v>
      </c>
      <c r="D14" s="13" t="n">
        <f aca="false">((Parameters!$C$23*Parameters!$C$25*Parameters!$C$27)*MAX(0,1-Parameters!$C$29*MAX(0,(Parameters!$C$23/(Constants!$B$10*1000))-Parameters!$C$28))*Parameters!$C$35/Constants!$B$8)</f>
        <v>0.0775</v>
      </c>
      <c r="E14" s="13" t="n">
        <f aca="false">(Parameters!$C$35/Constants!$B$8)</f>
        <v>0.833333333333333</v>
      </c>
      <c r="F14" s="89" t="n">
        <f aca="false">(Parameters!$C$23*Parameters!$C$25*Parameters!$C$27*MAX(0,1-Parameters!$C$29*MAX(0,(Parameters!$C$23/(Constants!$B$10*1000))-Parameters!$C$28)))</f>
        <v>0.093</v>
      </c>
      <c r="G14" s="90" t="n">
        <f aca="false">J14*Inputs!$C$3/1000</f>
        <v>0.54786208</v>
      </c>
      <c r="H14" s="13" t="n">
        <f aca="false">((Parameters!$D$23*Parameters!$D$25*Parameters!$D$27)*MAX(0,1-Parameters!$D$29*MAX(0,(Parameters!$D$23/(Constants!$B$10*1000))-Parameters!$D$28))*Parameters!$D$35/Constants!$B$8)</f>
        <v>1.45257290322581</v>
      </c>
      <c r="I14" s="13" t="n">
        <f aca="false">(Parameters!$D$35/Constants!$B$8)</f>
        <v>0.967741935483871</v>
      </c>
      <c r="J14" s="89" t="n">
        <f aca="false">(Parameters!$D$23*Parameters!$D$25*Parameters!$D$27*MAX(0,1-Parameters!$D$29*MAX(0,(Parameters!$D$23/(Constants!$B$10*1000))-Parameters!$D$28)))</f>
        <v>1.500992</v>
      </c>
      <c r="K14" s="92" t="s">
        <v>285</v>
      </c>
    </row>
    <row r="16" customFormat="false" ht="15" hidden="false" customHeight="true" outlineLevel="0" collapsed="false">
      <c r="A16" s="93" t="s">
        <v>286</v>
      </c>
      <c r="B16" s="93"/>
      <c r="C16" s="93"/>
      <c r="D16" s="93"/>
      <c r="E16" s="93"/>
      <c r="F16" s="93"/>
      <c r="G16" s="93"/>
      <c r="H16" s="93"/>
    </row>
    <row r="17" customFormat="false" ht="14.25" hidden="false" customHeight="true" outlineLevel="0" collapsed="false">
      <c r="A17" s="94" t="s">
        <v>256</v>
      </c>
      <c r="B17" s="81" t="s">
        <v>78</v>
      </c>
      <c r="C17" s="81"/>
      <c r="D17" s="81"/>
      <c r="E17" s="81" t="s">
        <v>79</v>
      </c>
      <c r="F17" s="81"/>
      <c r="G17" s="81"/>
      <c r="H17" s="95"/>
    </row>
    <row r="18" customFormat="false" ht="14.25" hidden="false" customHeight="true" outlineLevel="0" collapsed="false">
      <c r="A18" s="96" t="s">
        <v>287</v>
      </c>
      <c r="B18" s="97" t="s">
        <v>288</v>
      </c>
      <c r="C18" s="98" t="s">
        <v>289</v>
      </c>
      <c r="D18" s="99" t="s">
        <v>290</v>
      </c>
      <c r="E18" s="97" t="s">
        <v>288</v>
      </c>
      <c r="F18" s="98" t="s">
        <v>289</v>
      </c>
      <c r="G18" s="99" t="s">
        <v>290</v>
      </c>
      <c r="H18" s="86" t="s">
        <v>63</v>
      </c>
    </row>
    <row r="19" customFormat="false" ht="14.25" hidden="false" customHeight="true" outlineLevel="0" collapsed="false">
      <c r="A19" s="100" t="s">
        <v>291</v>
      </c>
      <c r="B19" s="101" t="n">
        <f aca="false">Routing!H19</f>
        <v>255.35900949</v>
      </c>
      <c r="C19" s="17" t="n">
        <f aca="false">IFERROR(B19/$C$4,NA())</f>
        <v>4664.09149753425</v>
      </c>
      <c r="D19" s="102" t="n">
        <f aca="false">B19*Parameters!$C$30/Constants!$B$8</f>
        <v>279.298916629688</v>
      </c>
      <c r="E19" s="101" t="n">
        <f aca="false">Routing!I19</f>
        <v>9.67619419065801</v>
      </c>
      <c r="F19" s="17" t="n">
        <f aca="false">IFERROR(E19/$G$4,NA())</f>
        <v>25.2477343526628</v>
      </c>
      <c r="G19" s="102" t="n">
        <f aca="false">E19*Parameters!$D$30/Constants!$B$8</f>
        <v>12.2757687493423</v>
      </c>
      <c r="H19" s="91"/>
    </row>
    <row r="20" customFormat="false" ht="14.25" hidden="false" customHeight="true" outlineLevel="0" collapsed="false">
      <c r="A20" s="100" t="s">
        <v>292</v>
      </c>
      <c r="B20" s="101" t="n">
        <f aca="false">Routing!H20</f>
        <v>85.11966983</v>
      </c>
      <c r="C20" s="17" t="n">
        <f aca="false">IFERROR(B20/$C$5,NA())</f>
        <v>878.390040752092</v>
      </c>
      <c r="D20" s="102" t="n">
        <f aca="false">B20*Parameters!$C$31/Constants!$B$8</f>
        <v>103.175357369697</v>
      </c>
      <c r="E20" s="101" t="n">
        <f aca="false">Routing!I20</f>
        <v>29.028582571974</v>
      </c>
      <c r="F20" s="17" t="n">
        <f aca="false">IFERROR(E20/$G$5,NA())</f>
        <v>24.8907530909946</v>
      </c>
      <c r="G20" s="102" t="n">
        <f aca="false">E20*Parameters!$D$31/Constants!$B$8</f>
        <v>36.8273062480268</v>
      </c>
      <c r="H20" s="91"/>
    </row>
    <row r="21" customFormat="false" ht="14.25" hidden="false" customHeight="true" outlineLevel="0" collapsed="false">
      <c r="A21" s="100" t="s">
        <v>293</v>
      </c>
      <c r="B21" s="101" t="n">
        <f aca="false">Routing!H21</f>
        <v>37.45322484</v>
      </c>
      <c r="C21" s="17" t="n">
        <f aca="false">IFERROR(B21/$C$6,NA())</f>
        <v>64.8632554775937</v>
      </c>
      <c r="D21" s="102" t="n">
        <f aca="false">B21*Parameters!$C$32/Constants!$B$8</f>
        <v>10.5999692943396</v>
      </c>
      <c r="E21" s="101" t="n">
        <f aca="false">Routing!I21</f>
        <v>311.86479842784</v>
      </c>
      <c r="F21" s="17" t="n">
        <f aca="false">IFERROR(E21/$G$6,NA())</f>
        <v>40.5076589158402</v>
      </c>
      <c r="G21" s="102" t="n">
        <f aca="false">E21*Parameters!$D$32/Constants!$B$8</f>
        <v>115.5054808992</v>
      </c>
      <c r="H21" s="91"/>
    </row>
    <row r="22" customFormat="false" ht="14.25" hidden="false" customHeight="true" outlineLevel="0" collapsed="false">
      <c r="A22" s="100" t="s">
        <v>294</v>
      </c>
      <c r="B22" s="101" t="n">
        <f aca="false">Routing!H22</f>
        <v>388.965246948</v>
      </c>
      <c r="C22" s="17" t="n">
        <f aca="false">IFERROR(B22/$C$7,NA())</f>
        <v>726.0318114888</v>
      </c>
      <c r="D22" s="102" t="n">
        <f aca="false">B22*Parameters!$C$33/Constants!$B$8</f>
        <v>350.706370199017</v>
      </c>
      <c r="E22" s="101" t="n">
        <f aca="false">Routing!I22</f>
        <v>1467.59026328953</v>
      </c>
      <c r="F22" s="17" t="n">
        <f aca="false">IFERROR(E22/$G$7,NA())</f>
        <v>513.630664503429</v>
      </c>
      <c r="G22" s="102" t="n">
        <f aca="false">E22*Parameters!$D$33/Constants!$B$8</f>
        <v>1514.18043037808</v>
      </c>
      <c r="H22" s="91"/>
    </row>
    <row r="23" customFormat="false" ht="14.25" hidden="false" customHeight="true" outlineLevel="0" collapsed="false">
      <c r="A23" s="100" t="s">
        <v>295</v>
      </c>
      <c r="B23" s="101" t="n">
        <f aca="false">Routing!H23</f>
        <v>166.596912</v>
      </c>
      <c r="C23" s="17" t="n">
        <f aca="false">IFERROR(B23/$C$8,NA())</f>
        <v>103.65506837853</v>
      </c>
      <c r="D23" s="102" t="n">
        <f aca="false">B23*Parameters!$C$34/Constants!$B$8</f>
        <v>150.210330491803</v>
      </c>
      <c r="E23" s="101" t="n">
        <f aca="false">Routing!I23</f>
        <v>122.11965</v>
      </c>
      <c r="F23" s="17" t="n">
        <f aca="false">IFERROR(E23/$G$8,NA())</f>
        <v>17.09588801382</v>
      </c>
      <c r="G23" s="102" t="n">
        <f aca="false">E23*Parameters!$D$34/Constants!$B$8</f>
        <v>125.996464285714</v>
      </c>
      <c r="H23" s="91"/>
    </row>
    <row r="24" customFormat="false" ht="14.25" hidden="false" customHeight="true" outlineLevel="0" collapsed="false">
      <c r="A24" s="100" t="s">
        <v>296</v>
      </c>
      <c r="B24" s="101" t="n">
        <f aca="false">Routing!H24</f>
        <v>25.7094</v>
      </c>
      <c r="C24" s="17" t="n">
        <f aca="false">IFERROR(B24/$C$9,NA())</f>
        <v>15.9961525275509</v>
      </c>
      <c r="D24" s="102" t="n">
        <f aca="false">B24*Parameters!$C$34/Constants!$B$8</f>
        <v>23.1806065573771</v>
      </c>
      <c r="E24" s="101" t="n">
        <f aca="false">Routing!I24</f>
        <v>42.849</v>
      </c>
      <c r="F24" s="17" t="n">
        <f aca="false">IFERROR(E24/$G$9,NA())</f>
        <v>5.9985571978316</v>
      </c>
      <c r="G24" s="102" t="n">
        <f aca="false">E24*Parameters!$D$34/Constants!$B$8</f>
        <v>44.2092857142857</v>
      </c>
      <c r="H24" s="91"/>
    </row>
    <row r="25" customFormat="false" ht="14.25" hidden="false" customHeight="true" outlineLevel="0" collapsed="false">
      <c r="A25" s="100" t="s">
        <v>297</v>
      </c>
      <c r="B25" s="101" t="n">
        <f aca="false">Routing!H25</f>
        <v>8.5698</v>
      </c>
      <c r="C25" s="17" t="n">
        <f aca="false">IFERROR(B25/$C$10,NA())</f>
        <v>5.33205084251698</v>
      </c>
      <c r="D25" s="102" t="n">
        <f aca="false">B25*(Parameters!$C$34/Constants!$B$8)*(1+Parameters!$C$37)</f>
        <v>8.88589918032787</v>
      </c>
      <c r="E25" s="101" t="n">
        <f aca="false">Routing!I25</f>
        <v>128.547</v>
      </c>
      <c r="F25" s="17" t="n">
        <f aca="false">IFERROR(E25/$G$10,NA())</f>
        <v>17.9956715934948</v>
      </c>
      <c r="G25" s="102" t="n">
        <f aca="false">E25*(Parameters!$D$34/Constants!$B$8)*(1+Parameters!$D$37)</f>
        <v>179.047607142857</v>
      </c>
      <c r="H25" s="91"/>
    </row>
    <row r="26" customFormat="false" ht="14.25" hidden="false" customHeight="true" outlineLevel="0" collapsed="false">
      <c r="A26" s="100" t="s">
        <v>298</v>
      </c>
      <c r="B26" s="101" t="e">
        <f aca="false">NA()</f>
        <v>#N/A</v>
      </c>
      <c r="C26" s="17" t="n">
        <f aca="false">Routing!B20/Theoretical!C11</f>
        <v>1690.48109589041</v>
      </c>
      <c r="D26" s="102" t="n">
        <v>0</v>
      </c>
      <c r="E26" s="101" t="e">
        <f aca="false">NA()</f>
        <v>#N/A</v>
      </c>
      <c r="F26" s="17" t="n">
        <f aca="false">Routing!C20/Theoretical!G11</f>
        <v>234.78904109589</v>
      </c>
      <c r="G26" s="102" t="n">
        <v>0</v>
      </c>
      <c r="H26" s="91"/>
    </row>
    <row r="27" customFormat="false" ht="14.25" hidden="false" customHeight="true" outlineLevel="0" collapsed="false">
      <c r="A27" s="100" t="s">
        <v>299</v>
      </c>
      <c r="B27" s="101" t="n">
        <f aca="false">Routing!H26</f>
        <v>614.24306</v>
      </c>
      <c r="C27" s="17" t="n">
        <f aca="false">IFERROR(B27/$C$12,NA())</f>
        <v>1529.87063511831</v>
      </c>
      <c r="D27" s="102" t="n">
        <f aca="false">B27*Parameters!$C$35/Constants!$B$8</f>
        <v>511.869216666667</v>
      </c>
      <c r="E27" s="101" t="n">
        <f aca="false">Routing!I26</f>
        <v>614.24306</v>
      </c>
      <c r="F27" s="17" t="n">
        <f aca="false">IFERROR(E27/$G$12,NA())</f>
        <v>210.25776608805</v>
      </c>
      <c r="G27" s="102" t="n">
        <f aca="false">E27*Parameters!$D$35/Constants!$B$8</f>
        <v>594.428767741935</v>
      </c>
      <c r="H27" s="91"/>
    </row>
    <row r="28" customFormat="false" ht="14.25" hidden="false" customHeight="true" outlineLevel="0" collapsed="false">
      <c r="A28" s="100" t="s">
        <v>300</v>
      </c>
      <c r="B28" s="101" t="n">
        <f aca="false">Routing!H27</f>
        <v>225.59205</v>
      </c>
      <c r="C28" s="17" t="n">
        <f aca="false">IFERROR(B28/$C$13,NA())</f>
        <v>1329.16217410517</v>
      </c>
      <c r="D28" s="102" t="n">
        <f aca="false">B28*Parameters!$C$35/Constants!$B$8</f>
        <v>187.993375</v>
      </c>
      <c r="E28" s="101" t="n">
        <f aca="false">Routing!I27</f>
        <v>225.59205</v>
      </c>
      <c r="F28" s="17" t="n">
        <f aca="false">IFERROR(E28/$G$13,NA())</f>
        <v>82.353591619263</v>
      </c>
      <c r="G28" s="102" t="n">
        <f aca="false">E28*Parameters!$D$35/Constants!$B$8</f>
        <v>218.314887096774</v>
      </c>
      <c r="H28" s="91"/>
    </row>
    <row r="29" customFormat="false" ht="14.25" hidden="false" customHeight="true" outlineLevel="0" collapsed="false">
      <c r="A29" s="100" t="s">
        <v>301</v>
      </c>
      <c r="B29" s="101" t="n">
        <f aca="false">Routing!H28</f>
        <v>80.54025</v>
      </c>
      <c r="C29" s="17" t="n">
        <f aca="false">IFERROR(B29/$C$14,NA())</f>
        <v>2372.66902342024</v>
      </c>
      <c r="D29" s="102" t="n">
        <f aca="false">B29*Parameters!$C$35/Constants!$B$8</f>
        <v>67.116875</v>
      </c>
      <c r="E29" s="101" t="n">
        <f aca="false">Routing!I28</f>
        <v>80.54025</v>
      </c>
      <c r="F29" s="17" t="n">
        <f aca="false">IFERROR(E29/$G$14,NA())</f>
        <v>147.00825799077</v>
      </c>
      <c r="G29" s="102" t="n">
        <f aca="false">E29*Parameters!$D$35/Constants!$B$8</f>
        <v>77.9421774193548</v>
      </c>
      <c r="H29" s="91"/>
    </row>
    <row r="30" customFormat="false" ht="14.25" hidden="false" customHeight="true" outlineLevel="0" collapsed="false">
      <c r="B30" s="39"/>
      <c r="E30" s="39"/>
    </row>
    <row r="31" customFormat="false" ht="14.25" hidden="false" customHeight="true" outlineLevel="0" collapsed="false">
      <c r="A31" s="6" t="s">
        <v>302</v>
      </c>
    </row>
    <row r="32" customFormat="false" ht="14.25" hidden="false" customHeight="true" outlineLevel="0" collapsed="false">
      <c r="A32" s="6" t="s">
        <v>303</v>
      </c>
    </row>
    <row r="33" customFormat="false" ht="14.25" hidden="false" customHeight="true" outlineLevel="0" collapsed="false">
      <c r="A33" s="1" t="s">
        <v>304</v>
      </c>
    </row>
    <row r="34" customFormat="false" ht="14.25" hidden="false" customHeight="true" outlineLevel="0" collapsed="false">
      <c r="A34" s="6" t="s">
        <v>305</v>
      </c>
    </row>
  </sheetData>
  <mergeCells count="7">
    <mergeCell ref="A1:K1"/>
    <mergeCell ref="A2:B2"/>
    <mergeCell ref="C2:F2"/>
    <mergeCell ref="G2:J2"/>
    <mergeCell ref="A16:H16"/>
    <mergeCell ref="B17:D17"/>
    <mergeCell ref="E17:G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0" activeCellId="0" sqref="A30"/>
    </sheetView>
  </sheetViews>
  <sheetFormatPr defaultColWidth="8.7578125" defaultRowHeight="14.25" zeroHeight="false" outlineLevelRow="0" outlineLevelCol="0"/>
  <cols>
    <col collapsed="false" customWidth="true" hidden="false" outlineLevel="0" max="1" min="1" style="6" width="35.22"/>
    <col collapsed="false" customWidth="true" hidden="false" outlineLevel="0" max="2" min="2" style="6" width="36.22"/>
    <col collapsed="false" customWidth="true" hidden="false" outlineLevel="0" max="3" min="3" style="6" width="16.77"/>
    <col collapsed="false" customWidth="true" hidden="false" outlineLevel="0" max="4" min="4" style="6" width="19.44"/>
    <col collapsed="false" customWidth="true" hidden="false" outlineLevel="0" max="5" min="5" style="6" width="26.77"/>
    <col collapsed="false" customWidth="true" hidden="false" outlineLevel="0" max="6" min="6" style="6" width="13.22"/>
    <col collapsed="false" customWidth="true" hidden="false" outlineLevel="0" max="7" min="7" style="6" width="16.22"/>
    <col collapsed="false" customWidth="true" hidden="false" outlineLevel="0" max="8" min="8" style="6" width="19.44"/>
    <col collapsed="false" customWidth="true" hidden="false" outlineLevel="0" max="9" min="9" style="6" width="26.77"/>
    <col collapsed="false" customWidth="true" hidden="false" outlineLevel="0" max="10" min="10" style="6" width="13"/>
    <col collapsed="false" customWidth="true" hidden="false" outlineLevel="0" max="11" min="11" style="6" width="72.56"/>
    <col collapsed="false" customWidth="false" hidden="false" outlineLevel="0" max="16384" min="12" style="6" width="8.76"/>
  </cols>
  <sheetData>
    <row r="1" customFormat="false" ht="15" hidden="false" customHeight="true" outlineLevel="0" collapsed="false">
      <c r="A1" s="79" t="s">
        <v>306</v>
      </c>
      <c r="B1" s="79"/>
      <c r="C1" s="79"/>
      <c r="D1" s="79"/>
      <c r="E1" s="79"/>
      <c r="F1" s="79"/>
      <c r="G1" s="79"/>
      <c r="H1" s="79"/>
      <c r="I1" s="79"/>
      <c r="J1" s="79"/>
      <c r="K1" s="79"/>
    </row>
    <row r="2" customFormat="false" ht="14.25" hidden="false" customHeight="true" outlineLevel="0" collapsed="false">
      <c r="A2" s="80" t="s">
        <v>256</v>
      </c>
      <c r="B2" s="80"/>
      <c r="C2" s="81" t="s">
        <v>78</v>
      </c>
      <c r="D2" s="81"/>
      <c r="E2" s="81"/>
      <c r="F2" s="81"/>
      <c r="G2" s="81" t="s">
        <v>79</v>
      </c>
      <c r="H2" s="81"/>
      <c r="I2" s="81"/>
      <c r="J2" s="81"/>
      <c r="K2" s="82"/>
    </row>
    <row r="3" customFormat="false" ht="14.25" hidden="false" customHeight="true" outlineLevel="0" collapsed="false">
      <c r="A3" s="103" t="s">
        <v>257</v>
      </c>
      <c r="B3" s="104" t="s">
        <v>258</v>
      </c>
      <c r="C3" s="84" t="s">
        <v>259</v>
      </c>
      <c r="D3" s="10" t="s">
        <v>260</v>
      </c>
      <c r="E3" s="10" t="s">
        <v>261</v>
      </c>
      <c r="F3" s="11" t="s">
        <v>262</v>
      </c>
      <c r="G3" s="85" t="s">
        <v>259</v>
      </c>
      <c r="H3" s="10" t="s">
        <v>260</v>
      </c>
      <c r="I3" s="10" t="s">
        <v>261</v>
      </c>
      <c r="J3" s="11" t="s">
        <v>263</v>
      </c>
      <c r="K3" s="105" t="s">
        <v>307</v>
      </c>
    </row>
    <row r="4" customFormat="false" ht="14.25" hidden="false" customHeight="true" outlineLevel="0" collapsed="false">
      <c r="A4" s="12" t="s">
        <v>64</v>
      </c>
      <c r="B4" s="87" t="s">
        <v>265</v>
      </c>
      <c r="C4" s="88" t="n">
        <f aca="false">IFERROR($F4*Inputs!$C$3/1000,NA())</f>
        <v>0.13505</v>
      </c>
      <c r="D4" s="45" t="n">
        <v>0.37</v>
      </c>
      <c r="E4" s="45" t="n">
        <v>1</v>
      </c>
      <c r="F4" s="89" t="n">
        <f aca="false">IFERROR($D4/$E4,NA())</f>
        <v>0.37</v>
      </c>
      <c r="G4" s="90" t="n">
        <f aca="false">IFERROR($J4*Inputs!$C$3/1000,NA())</f>
        <v>0.607038701032553</v>
      </c>
      <c r="H4" s="45" t="n">
        <v>2.11</v>
      </c>
      <c r="I4" s="45" t="n">
        <v>1.2687</v>
      </c>
      <c r="J4" s="89" t="n">
        <f aca="false">IFERROR($H4/$I4,NA())</f>
        <v>1.66311972885631</v>
      </c>
      <c r="K4" s="91"/>
      <c r="M4" s="106"/>
    </row>
    <row r="5" customFormat="false" ht="14.25" hidden="false" customHeight="true" outlineLevel="0" collapsed="false">
      <c r="A5" s="12" t="s">
        <v>64</v>
      </c>
      <c r="B5" s="87" t="s">
        <v>267</v>
      </c>
      <c r="C5" s="88" t="n">
        <f aca="false">IFERROR($F5*Inputs!$C$3/1000,NA())</f>
        <v>1.679</v>
      </c>
      <c r="D5" s="45" t="n">
        <v>4.6</v>
      </c>
      <c r="E5" s="45" t="n">
        <v>1</v>
      </c>
      <c r="F5" s="89" t="n">
        <f aca="false">IFERROR($D5/$E5,NA())</f>
        <v>4.6</v>
      </c>
      <c r="G5" s="90" t="n">
        <f aca="false">IFERROR($J5*Inputs!$C$3/1000,NA())</f>
        <v>15.7427287774888</v>
      </c>
      <c r="H5" s="45" t="n">
        <v>54.72</v>
      </c>
      <c r="I5" s="45" t="n">
        <v>1.2687</v>
      </c>
      <c r="J5" s="89" t="n">
        <f aca="false">IFERROR($H5/$I5,NA())</f>
        <v>43.1307637739418</v>
      </c>
      <c r="K5" s="91"/>
      <c r="M5" s="106"/>
    </row>
    <row r="6" customFormat="false" ht="14.25" hidden="false" customHeight="true" outlineLevel="0" collapsed="false">
      <c r="A6" s="12" t="s">
        <v>269</v>
      </c>
      <c r="B6" s="87" t="s">
        <v>270</v>
      </c>
      <c r="C6" s="88" t="n">
        <f aca="false">IFERROR($F6*Inputs!$C$3/1000,NA())</f>
        <v>5.3609375</v>
      </c>
      <c r="D6" s="45" t="n">
        <v>0.47</v>
      </c>
      <c r="E6" s="45" t="n">
        <v>0.032</v>
      </c>
      <c r="F6" s="89" t="n">
        <f aca="false">IFERROR($D6/$E6,NA())</f>
        <v>14.6875</v>
      </c>
      <c r="G6" s="90" t="n">
        <f aca="false">IFERROR($J6*Inputs!$C$3/1000,NA())</f>
        <v>1.52723684210526</v>
      </c>
      <c r="H6" s="45" t="n">
        <v>1.59</v>
      </c>
      <c r="I6" s="45" t="n">
        <v>0.38</v>
      </c>
      <c r="J6" s="89" t="n">
        <f aca="false">IFERROR($H6/$I6,NA())</f>
        <v>4.18421052631579</v>
      </c>
      <c r="K6" s="91"/>
      <c r="M6" s="106"/>
    </row>
    <row r="7" customFormat="false" ht="14.25" hidden="false" customHeight="true" outlineLevel="0" collapsed="false">
      <c r="A7" s="12" t="s">
        <v>272</v>
      </c>
      <c r="B7" s="87" t="s">
        <v>273</v>
      </c>
      <c r="C7" s="88" t="n">
        <f aca="false">IFERROR($F7*Inputs!$C$3/1000,NA())</f>
        <v>0.141798561151079</v>
      </c>
      <c r="D7" s="45" t="n">
        <v>0.54</v>
      </c>
      <c r="E7" s="45" t="n">
        <v>1.39</v>
      </c>
      <c r="F7" s="89" t="n">
        <f aca="false">IFERROR($D7/$E7,NA())</f>
        <v>0.388489208633094</v>
      </c>
      <c r="G7" s="90" t="n">
        <f aca="false">IFERROR($J7*Inputs!$C$3/1000,NA())</f>
        <v>1.97058253368227</v>
      </c>
      <c r="H7" s="45" t="n">
        <v>5.57</v>
      </c>
      <c r="I7" s="45" t="n">
        <v>1.0317</v>
      </c>
      <c r="J7" s="89" t="n">
        <f aca="false">IFERROR($H7/$I7,NA())</f>
        <v>5.39885625666376</v>
      </c>
      <c r="K7" s="91"/>
    </row>
    <row r="8" customFormat="false" ht="14.25" hidden="false" customHeight="true" outlineLevel="0" collapsed="false">
      <c r="A8" s="12" t="s">
        <v>189</v>
      </c>
      <c r="B8" s="87" t="s">
        <v>308</v>
      </c>
      <c r="C8" s="88" t="n">
        <f aca="false">IFERROR($F8*Inputs!$C$3/1000,NA())</f>
        <v>0.425900776053215</v>
      </c>
      <c r="D8" s="45" t="n">
        <v>1.0525</v>
      </c>
      <c r="E8" s="45" t="n">
        <v>0.902</v>
      </c>
      <c r="F8" s="89" t="n">
        <f aca="false">IFERROR($D8/$E8,NA())</f>
        <v>1.16685144124169</v>
      </c>
      <c r="G8" s="90" t="n">
        <f aca="false">IFERROR($J8*Inputs!$C$3/1000,NA())</f>
        <v>2.81060291922375</v>
      </c>
      <c r="H8" s="45" t="n">
        <v>9.285</v>
      </c>
      <c r="I8" s="45" t="n">
        <v>1.2058</v>
      </c>
      <c r="J8" s="89" t="n">
        <f aca="false">IFERROR($H8/$I8,NA())</f>
        <v>7.70028197047603</v>
      </c>
      <c r="K8" s="91"/>
    </row>
    <row r="9" customFormat="false" ht="14.25" hidden="false" customHeight="true" outlineLevel="0" collapsed="false">
      <c r="A9" s="12" t="s">
        <v>66</v>
      </c>
      <c r="B9" s="87" t="s">
        <v>308</v>
      </c>
      <c r="C9" s="88" t="e">
        <f aca="false">IFERROR($F9*Inputs!$C$3/1000,NA())</f>
        <v>#N/A</v>
      </c>
      <c r="D9" s="45"/>
      <c r="E9" s="45"/>
      <c r="F9" s="89" t="e">
        <f aca="false">IFERROR($D9/$E9,NA())</f>
        <v>#N/A</v>
      </c>
      <c r="G9" s="90" t="e">
        <f aca="false">IFERROR($J9*Inputs!$C$3/1000,NA())</f>
        <v>#N/A</v>
      </c>
      <c r="H9" s="45"/>
      <c r="I9" s="45"/>
      <c r="J9" s="89" t="e">
        <f aca="false">IFERROR($H9/$I9,NA())</f>
        <v>#N/A</v>
      </c>
      <c r="K9" s="91"/>
    </row>
    <row r="10" customFormat="false" ht="14.25" hidden="false" customHeight="true" outlineLevel="0" collapsed="false">
      <c r="A10" s="12"/>
      <c r="B10" s="87"/>
      <c r="C10" s="88"/>
      <c r="D10" s="45"/>
      <c r="E10" s="45"/>
      <c r="F10" s="89"/>
      <c r="G10" s="90"/>
      <c r="H10" s="45"/>
      <c r="I10" s="45"/>
      <c r="J10" s="89"/>
      <c r="K10" s="91"/>
    </row>
    <row r="11" customFormat="false" ht="14.25" hidden="false" customHeight="true" outlineLevel="0" collapsed="false">
      <c r="A11" s="12" t="s">
        <v>66</v>
      </c>
      <c r="B11" s="87" t="s">
        <v>309</v>
      </c>
      <c r="C11" s="88" t="n">
        <f aca="false">IFERROR($F11*Inputs!$C$3/1000,NA())</f>
        <v>0.88695</v>
      </c>
      <c r="D11" s="45" t="n">
        <v>2.43</v>
      </c>
      <c r="E11" s="45" t="n">
        <v>1</v>
      </c>
      <c r="F11" s="89" t="n">
        <f aca="false">IFERROR($D11/$E11,NA())</f>
        <v>2.43</v>
      </c>
      <c r="G11" s="90" t="n">
        <f aca="false">IFERROR($J11*Inputs!$C$3/1000,NA())</f>
        <v>3.285</v>
      </c>
      <c r="H11" s="45" t="n">
        <v>9</v>
      </c>
      <c r="I11" s="45" t="n">
        <v>1</v>
      </c>
      <c r="J11" s="89" t="n">
        <f aca="false">IFERROR($H11/$I11,NA())</f>
        <v>9</v>
      </c>
      <c r="K11" s="91"/>
    </row>
    <row r="12" customFormat="false" ht="14.25" hidden="false" customHeight="true" outlineLevel="0" collapsed="false">
      <c r="A12" s="12" t="s">
        <v>68</v>
      </c>
      <c r="B12" s="87" t="s">
        <v>308</v>
      </c>
      <c r="C12" s="88" t="n">
        <f aca="false">IFERROR($F12*Inputs!$C$3/1000,NA())</f>
        <v>0.261847826086957</v>
      </c>
      <c r="D12" s="45" t="n">
        <v>0.66</v>
      </c>
      <c r="E12" s="45" t="n">
        <v>0.92</v>
      </c>
      <c r="F12" s="89" t="n">
        <f aca="false">IFERROR($D12/$E12,NA())</f>
        <v>0.717391304347826</v>
      </c>
      <c r="G12" s="90" t="n">
        <f aca="false">IFERROR($J12*Inputs!$C$3/1000,NA())</f>
        <v>1.78048780487805</v>
      </c>
      <c r="H12" s="45" t="n">
        <v>6</v>
      </c>
      <c r="I12" s="45" t="n">
        <v>1.23</v>
      </c>
      <c r="J12" s="89" t="n">
        <f aca="false">IFERROR($H12/$I12,NA())</f>
        <v>4.87804878048781</v>
      </c>
      <c r="K12" s="91"/>
    </row>
    <row r="13" customFormat="false" ht="14.25" hidden="false" customHeight="true" outlineLevel="0" collapsed="false">
      <c r="A13" s="12" t="s">
        <v>70</v>
      </c>
      <c r="B13" s="87" t="s">
        <v>310</v>
      </c>
      <c r="C13" s="88" t="n">
        <f aca="false">IFERROR($F13*Inputs!$C$3/1000,NA())</f>
        <v>0.065078960774325</v>
      </c>
      <c r="D13" s="45" t="n">
        <v>0.035</v>
      </c>
      <c r="E13" s="45" t="n">
        <v>0.1963</v>
      </c>
      <c r="F13" s="89" t="n">
        <f aca="false">IFERROR($D13/$E13,NA())</f>
        <v>0.178298522669384</v>
      </c>
      <c r="G13" s="90" t="n">
        <f aca="false">IFERROR($J13*Inputs!$C$3/1000,NA())</f>
        <v>0.0592423076923077</v>
      </c>
      <c r="H13" s="45" t="n">
        <v>0.0844</v>
      </c>
      <c r="I13" s="45" t="n">
        <v>0.52</v>
      </c>
      <c r="J13" s="89" t="n">
        <f aca="false">IFERROR($H13/$I13,NA())</f>
        <v>0.162307692307692</v>
      </c>
      <c r="K13" s="92"/>
    </row>
    <row r="14" customFormat="false" ht="14.25" hidden="false" customHeight="true" outlineLevel="0" collapsed="false">
      <c r="A14" s="12" t="s">
        <v>72</v>
      </c>
      <c r="B14" s="87" t="s">
        <v>310</v>
      </c>
      <c r="C14" s="88" t="n">
        <f aca="false">IFERROR($F14*Inputs!$C$3/1000,NA())</f>
        <v>0.00561538461538462</v>
      </c>
      <c r="D14" s="45" t="n">
        <v>0.01</v>
      </c>
      <c r="E14" s="45" t="n">
        <v>0.65</v>
      </c>
      <c r="F14" s="89" t="n">
        <f aca="false">IFERROR($D14/$E14,NA())</f>
        <v>0.0153846153846154</v>
      </c>
      <c r="G14" s="90" t="n">
        <f aca="false">IFERROR($J14*Inputs!$C$3/1000,NA())</f>
        <v>0.395845070422535</v>
      </c>
      <c r="H14" s="45" t="n">
        <v>0.77</v>
      </c>
      <c r="I14" s="45" t="n">
        <v>0.71</v>
      </c>
      <c r="J14" s="89" t="n">
        <f aca="false">IFERROR($H14/$I14,NA())</f>
        <v>1.08450704225352</v>
      </c>
      <c r="K14" s="92"/>
    </row>
    <row r="16" customFormat="false" ht="15" hidden="false" customHeight="true" outlineLevel="0" collapsed="false">
      <c r="A16" s="93" t="s">
        <v>286</v>
      </c>
      <c r="B16" s="93"/>
      <c r="C16" s="93"/>
      <c r="D16" s="93"/>
      <c r="E16" s="93"/>
      <c r="F16" s="93"/>
      <c r="G16" s="93"/>
      <c r="H16" s="93"/>
    </row>
    <row r="17" customFormat="false" ht="14.25" hidden="false" customHeight="true" outlineLevel="0" collapsed="false">
      <c r="A17" s="94" t="s">
        <v>256</v>
      </c>
      <c r="B17" s="81" t="s">
        <v>78</v>
      </c>
      <c r="C17" s="81"/>
      <c r="D17" s="81"/>
      <c r="E17" s="81" t="s">
        <v>79</v>
      </c>
      <c r="F17" s="81"/>
      <c r="G17" s="81"/>
      <c r="H17" s="95"/>
    </row>
    <row r="18" customFormat="false" ht="14.25" hidden="false" customHeight="true" outlineLevel="0" collapsed="false">
      <c r="A18" s="107" t="s">
        <v>287</v>
      </c>
      <c r="B18" s="97" t="s">
        <v>288</v>
      </c>
      <c r="C18" s="98" t="s">
        <v>311</v>
      </c>
      <c r="D18" s="99" t="s">
        <v>290</v>
      </c>
      <c r="E18" s="97" t="s">
        <v>288</v>
      </c>
      <c r="F18" s="98" t="s">
        <v>289</v>
      </c>
      <c r="G18" s="99" t="s">
        <v>290</v>
      </c>
      <c r="H18" s="108" t="s">
        <v>63</v>
      </c>
    </row>
    <row r="19" customFormat="false" ht="14.25" hidden="false" customHeight="true" outlineLevel="0" collapsed="false">
      <c r="A19" s="100" t="s">
        <v>291</v>
      </c>
      <c r="B19" s="101" t="n">
        <f aca="false">Routing!H19</f>
        <v>255.35900949</v>
      </c>
      <c r="C19" s="17" t="n">
        <f aca="false">IFERROR(B19/$C$4,NA())</f>
        <v>1890.84790440578</v>
      </c>
      <c r="D19" s="102" t="n">
        <f aca="false">B19*E4</f>
        <v>255.35900949</v>
      </c>
      <c r="E19" s="101" t="n">
        <f aca="false">Routing!I19</f>
        <v>9.67619419065801</v>
      </c>
      <c r="F19" s="17" t="n">
        <f aca="false">IFERROR(E19/$G$4,NA())</f>
        <v>15.9399955459168</v>
      </c>
      <c r="G19" s="102" t="n">
        <f aca="false">E19*I4</f>
        <v>12.2761875696878</v>
      </c>
      <c r="H19" s="91"/>
    </row>
    <row r="20" customFormat="false" ht="14.25" hidden="false" customHeight="true" outlineLevel="0" collapsed="false">
      <c r="A20" s="100" t="s">
        <v>292</v>
      </c>
      <c r="B20" s="101" t="n">
        <f aca="false">Routing!H20</f>
        <v>85.11966983</v>
      </c>
      <c r="C20" s="17" t="n">
        <f aca="false">IFERROR(B20/$C$5,NA())</f>
        <v>50.6966467123288</v>
      </c>
      <c r="D20" s="102" t="n">
        <f aca="false">B20*E5</f>
        <v>85.11966983</v>
      </c>
      <c r="E20" s="101" t="n">
        <f aca="false">Routing!I20</f>
        <v>29.028582571974</v>
      </c>
      <c r="F20" s="17" t="n">
        <f aca="false">IFERROR(E20/$G$5,NA())</f>
        <v>1.84393588826121</v>
      </c>
      <c r="G20" s="102" t="n">
        <f aca="false">E20*I5</f>
        <v>36.8285627090635</v>
      </c>
      <c r="H20" s="91"/>
    </row>
    <row r="21" customFormat="false" ht="14.25" hidden="false" customHeight="true" outlineLevel="0" collapsed="false">
      <c r="A21" s="100" t="s">
        <v>293</v>
      </c>
      <c r="B21" s="101" t="n">
        <f aca="false">Routing!H21</f>
        <v>37.45322484</v>
      </c>
      <c r="C21" s="17" t="n">
        <f aca="false">IFERROR(B21/$C$6,NA())</f>
        <v>6.98631999347129</v>
      </c>
      <c r="D21" s="102" t="n">
        <f aca="false">B21*E6</f>
        <v>1.19850319488</v>
      </c>
      <c r="E21" s="101" t="n">
        <f aca="false">Routing!I21</f>
        <v>311.86479842784</v>
      </c>
      <c r="F21" s="17" t="n">
        <f aca="false">IFERROR(E21/$G$6,NA())</f>
        <v>204.201987425828</v>
      </c>
      <c r="G21" s="102" t="n">
        <f aca="false">E21*I6</f>
        <v>118.508623402579</v>
      </c>
      <c r="H21" s="91"/>
    </row>
    <row r="22" customFormat="false" ht="14.25" hidden="false" customHeight="true" outlineLevel="0" collapsed="false">
      <c r="A22" s="100" t="s">
        <v>294</v>
      </c>
      <c r="B22" s="101" t="n">
        <f aca="false">Routing!H22</f>
        <v>388.965246948</v>
      </c>
      <c r="C22" s="17" t="n">
        <f aca="false">IFERROR(B22/$C$7,NA())</f>
        <v>2743.08317228676</v>
      </c>
      <c r="D22" s="102" t="n">
        <f aca="false">B22*E7</f>
        <v>540.66169325772</v>
      </c>
      <c r="E22" s="101" t="n">
        <f aca="false">Routing!I22</f>
        <v>1467.59026328953</v>
      </c>
      <c r="F22" s="17" t="n">
        <f aca="false">IFERROR(E22/$G$7,NA())</f>
        <v>744.749452613466</v>
      </c>
      <c r="G22" s="102" t="n">
        <f aca="false">E22*I7</f>
        <v>1514.11287463581</v>
      </c>
      <c r="H22" s="91"/>
    </row>
    <row r="23" customFormat="false" ht="14.25" hidden="false" customHeight="true" outlineLevel="0" collapsed="false">
      <c r="A23" s="100" t="s">
        <v>295</v>
      </c>
      <c r="B23" s="101" t="n">
        <f aca="false">Routing!H23</f>
        <v>166.596912</v>
      </c>
      <c r="C23" s="17" t="n">
        <f aca="false">IFERROR(B23/$C$8,NA())</f>
        <v>391.163673247649</v>
      </c>
      <c r="D23" s="102" t="n">
        <f aca="false">B23*E8</f>
        <v>150.270414624</v>
      </c>
      <c r="E23" s="101" t="n">
        <f aca="false">Routing!I23</f>
        <v>122.11965</v>
      </c>
      <c r="F23" s="17" t="n">
        <f aca="false">IFERROR(E23/$G$8,NA())</f>
        <v>43.4496275388939</v>
      </c>
      <c r="G23" s="102" t="n">
        <f aca="false">E23*I8</f>
        <v>147.25187397</v>
      </c>
      <c r="H23" s="91"/>
    </row>
    <row r="24" customFormat="false" ht="14.25" hidden="false" customHeight="true" outlineLevel="0" collapsed="false">
      <c r="A24" s="100" t="s">
        <v>296</v>
      </c>
      <c r="B24" s="101" t="n">
        <f aca="false">Routing!H24</f>
        <v>25.7094</v>
      </c>
      <c r="C24" s="17" t="e">
        <f aca="false">IFERROR(B24/$C$9,NA())</f>
        <v>#N/A</v>
      </c>
      <c r="D24" s="102" t="n">
        <f aca="false">B24*E9</f>
        <v>0</v>
      </c>
      <c r="E24" s="101" t="n">
        <f aca="false">Routing!I24</f>
        <v>42.849</v>
      </c>
      <c r="F24" s="17" t="e">
        <f aca="false">IFERROR(E24/$G$9,NA())</f>
        <v>#N/A</v>
      </c>
      <c r="G24" s="102" t="n">
        <f aca="false">E24*I9</f>
        <v>0</v>
      </c>
      <c r="H24" s="91"/>
    </row>
    <row r="25" customFormat="false" ht="14.25" hidden="false" customHeight="true" outlineLevel="0" collapsed="false">
      <c r="A25" s="100"/>
      <c r="B25" s="101"/>
      <c r="C25" s="17"/>
      <c r="D25" s="102"/>
      <c r="E25" s="101"/>
      <c r="F25" s="17"/>
      <c r="G25" s="102"/>
      <c r="H25" s="91"/>
    </row>
    <row r="26" customFormat="false" ht="14.25" hidden="false" customHeight="true" outlineLevel="0" collapsed="false">
      <c r="A26" s="100" t="s">
        <v>298</v>
      </c>
      <c r="B26" s="101" t="e">
        <f aca="false">NA()</f>
        <v>#N/A</v>
      </c>
      <c r="C26" s="17" t="n">
        <f aca="false">IFERROR(Routing!B20/$C$11,NA())</f>
        <v>347.835616438356</v>
      </c>
      <c r="D26" s="102" t="e">
        <f aca="false">B26*E11</f>
        <v>#N/A</v>
      </c>
      <c r="E26" s="101" t="e">
        <f aca="false">NA()</f>
        <v>#N/A</v>
      </c>
      <c r="F26" s="17" t="n">
        <f aca="false">IFERROR(Routing!C20/$G$11,NA())</f>
        <v>52.1753424657534</v>
      </c>
      <c r="G26" s="102" t="e">
        <f aca="false">E26*I11</f>
        <v>#N/A</v>
      </c>
      <c r="H26" s="91"/>
    </row>
    <row r="27" customFormat="false" ht="14.25" hidden="false" customHeight="true" outlineLevel="0" collapsed="false">
      <c r="A27" s="100" t="s">
        <v>299</v>
      </c>
      <c r="B27" s="101" t="n">
        <f aca="false">Routing!H26</f>
        <v>614.24306</v>
      </c>
      <c r="C27" s="17" t="n">
        <f aca="false">IFERROR(B27/$C$12,NA())</f>
        <v>2345.80164051474</v>
      </c>
      <c r="D27" s="102" t="n">
        <f aca="false">B27*E12</f>
        <v>565.1036152</v>
      </c>
      <c r="E27" s="101" t="n">
        <f aca="false">Routing!I26</f>
        <v>614.24306</v>
      </c>
      <c r="F27" s="17" t="n">
        <f aca="false">IFERROR(E27/$G$12,NA())</f>
        <v>344.985828219178</v>
      </c>
      <c r="G27" s="102" t="n">
        <f aca="false">E27*I12</f>
        <v>755.5189638</v>
      </c>
      <c r="H27" s="91"/>
    </row>
    <row r="28" customFormat="false" ht="14.25" hidden="false" customHeight="true" outlineLevel="0" collapsed="false">
      <c r="A28" s="100" t="s">
        <v>300</v>
      </c>
      <c r="B28" s="101" t="n">
        <f aca="false">Routing!H27</f>
        <v>225.59205</v>
      </c>
      <c r="C28" s="17" t="n">
        <f aca="false">IFERROR(B28/$C$13,NA())</f>
        <v>3466.43596203522</v>
      </c>
      <c r="D28" s="102" t="n">
        <f aca="false">B28*E13</f>
        <v>44.283719415</v>
      </c>
      <c r="E28" s="101" t="n">
        <f aca="false">Routing!I27</f>
        <v>225.59205</v>
      </c>
      <c r="F28" s="17" t="n">
        <f aca="false">IFERROR(E28/$G$13,NA())</f>
        <v>3807.95513860936</v>
      </c>
      <c r="G28" s="102" t="n">
        <f aca="false">E28*I13</f>
        <v>117.307866</v>
      </c>
      <c r="H28" s="91"/>
    </row>
    <row r="29" customFormat="false" ht="14.25" hidden="false" customHeight="true" outlineLevel="0" collapsed="false">
      <c r="A29" s="100" t="s">
        <v>301</v>
      </c>
      <c r="B29" s="101" t="n">
        <f aca="false">Routing!H28</f>
        <v>80.54025</v>
      </c>
      <c r="C29" s="17" t="n">
        <f aca="false">IFERROR(B29/$C$14,NA())</f>
        <v>14342.7842465753</v>
      </c>
      <c r="D29" s="102" t="n">
        <f aca="false">B29*E14</f>
        <v>52.3511625</v>
      </c>
      <c r="E29" s="101" t="n">
        <f aca="false">Routing!I28</f>
        <v>80.54025</v>
      </c>
      <c r="F29" s="17" t="n">
        <f aca="false">IFERROR(E29/$G$14,NA())</f>
        <v>203.464072229141</v>
      </c>
      <c r="G29" s="102" t="n">
        <f aca="false">E29*I14</f>
        <v>57.1835775</v>
      </c>
      <c r="H29" s="91"/>
    </row>
    <row r="30" customFormat="false" ht="14.25" hidden="false" customHeight="true" outlineLevel="0" collapsed="false">
      <c r="B30" s="39"/>
      <c r="E30" s="39"/>
    </row>
    <row r="31" customFormat="false" ht="14.25" hidden="false" customHeight="true" outlineLevel="0" collapsed="false">
      <c r="A31" s="6" t="s">
        <v>302</v>
      </c>
    </row>
    <row r="32" customFormat="false" ht="14.25" hidden="false" customHeight="true" outlineLevel="0" collapsed="false">
      <c r="A32" s="6" t="s">
        <v>303</v>
      </c>
    </row>
    <row r="33" customFormat="false" ht="14.25" hidden="false" customHeight="true" outlineLevel="0" collapsed="false">
      <c r="A33" s="1" t="s">
        <v>304</v>
      </c>
    </row>
    <row r="34" customFormat="false" ht="14.25" hidden="false" customHeight="true" outlineLevel="0" collapsed="false">
      <c r="A34" s="6" t="s">
        <v>305</v>
      </c>
    </row>
  </sheetData>
  <mergeCells count="8">
    <mergeCell ref="A1:K1"/>
    <mergeCell ref="A2:B2"/>
    <mergeCell ref="C2:F2"/>
    <mergeCell ref="G2:J2"/>
    <mergeCell ref="M4:M6"/>
    <mergeCell ref="A16:H16"/>
    <mergeCell ref="B17:D17"/>
    <mergeCell ref="E17:G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M2" activeCellId="0" sqref="M2"/>
    </sheetView>
  </sheetViews>
  <sheetFormatPr defaultColWidth="8.7578125" defaultRowHeight="14.25" zeroHeight="false" outlineLevelRow="0" outlineLevelCol="0"/>
  <cols>
    <col collapsed="false" customWidth="true" hidden="false" outlineLevel="0" max="1" min="1" style="6" width="35.22"/>
    <col collapsed="false" customWidth="true" hidden="false" outlineLevel="0" max="2" min="2" style="6" width="21.22"/>
    <col collapsed="false" customWidth="false" hidden="false" outlineLevel="0" max="3" min="3" style="6" width="8.76"/>
    <col collapsed="false" customWidth="true" hidden="false" outlineLevel="0" max="4" min="4" style="6" width="8.44"/>
    <col collapsed="false" customWidth="false" hidden="false" outlineLevel="0" max="5" min="5" style="6" width="8.76"/>
    <col collapsed="false" customWidth="true" hidden="false" outlineLevel="0" max="6" min="6" style="6" width="8.44"/>
    <col collapsed="false" customWidth="true" hidden="false" outlineLevel="0" max="7" min="7" style="6" width="21.22"/>
    <col collapsed="false" customWidth="false" hidden="false" outlineLevel="0" max="8" min="8" style="6" width="8.76"/>
    <col collapsed="false" customWidth="true" hidden="false" outlineLevel="0" max="9" min="9" style="6" width="8.44"/>
    <col collapsed="false" customWidth="false" hidden="false" outlineLevel="0" max="10" min="10" style="6" width="8.76"/>
    <col collapsed="false" customWidth="true" hidden="false" outlineLevel="0" max="11" min="11" style="6" width="8.44"/>
    <col collapsed="false" customWidth="true" hidden="false" outlineLevel="0" max="12" min="12" style="6" width="48"/>
    <col collapsed="false" customWidth="false" hidden="false" outlineLevel="0" max="13" min="13" style="6" width="8.76"/>
    <col collapsed="false" customWidth="true" hidden="false" outlineLevel="0" max="14" min="14" style="6" width="17.44"/>
    <col collapsed="false" customWidth="true" hidden="false" outlineLevel="0" max="15" min="15" style="6" width="4.79"/>
    <col collapsed="false" customWidth="true" hidden="false" outlineLevel="0" max="16" min="16" style="6" width="4.22"/>
    <col collapsed="false" customWidth="true" hidden="false" outlineLevel="0" max="17" min="17" style="6" width="4.79"/>
    <col collapsed="false" customWidth="true" hidden="false" outlineLevel="0" max="18" min="18" style="6" width="4.22"/>
    <col collapsed="false" customWidth="true" hidden="false" outlineLevel="0" max="19" min="19" style="6" width="4.79"/>
    <col collapsed="false" customWidth="true" hidden="false" outlineLevel="0" max="20" min="20" style="6" width="4.22"/>
    <col collapsed="false" customWidth="true" hidden="false" outlineLevel="0" max="21" min="21" style="6" width="4.79"/>
    <col collapsed="false" customWidth="true" hidden="false" outlineLevel="0" max="22" min="22" style="6" width="4.22"/>
    <col collapsed="false" customWidth="true" hidden="false" outlineLevel="0" max="23" min="23" style="6" width="11.56"/>
    <col collapsed="false" customWidth="true" hidden="false" outlineLevel="0" max="24" min="24" style="6" width="98.44"/>
    <col collapsed="false" customWidth="false" hidden="false" outlineLevel="0" max="16384" min="25" style="6" width="8.76"/>
  </cols>
  <sheetData>
    <row r="1" customFormat="false" ht="15" hidden="false" customHeight="true" outlineLevel="0" collapsed="false">
      <c r="A1" s="79" t="s">
        <v>286</v>
      </c>
      <c r="B1" s="79"/>
      <c r="C1" s="79"/>
      <c r="D1" s="79"/>
      <c r="E1" s="79"/>
      <c r="F1" s="79"/>
      <c r="G1" s="79"/>
      <c r="H1" s="79"/>
      <c r="I1" s="79"/>
      <c r="J1" s="79"/>
      <c r="K1" s="79"/>
      <c r="L1" s="79"/>
      <c r="N1" s="109" t="s">
        <v>312</v>
      </c>
      <c r="O1" s="109"/>
      <c r="P1" s="109"/>
      <c r="Q1" s="109"/>
      <c r="R1" s="109"/>
      <c r="S1" s="109"/>
      <c r="T1" s="109"/>
      <c r="U1" s="109"/>
      <c r="V1" s="109"/>
      <c r="W1" s="109"/>
      <c r="X1" s="109"/>
    </row>
    <row r="2" customFormat="false" ht="14.25" hidden="false" customHeight="true" outlineLevel="0" collapsed="false">
      <c r="A2" s="55"/>
      <c r="B2" s="55"/>
      <c r="C2" s="55"/>
      <c r="D2" s="55"/>
      <c r="E2" s="55"/>
      <c r="F2" s="55"/>
      <c r="G2" s="55"/>
      <c r="H2" s="55"/>
      <c r="I2" s="55"/>
      <c r="J2" s="55"/>
      <c r="K2" s="55"/>
      <c r="L2" s="55"/>
      <c r="N2" s="110"/>
      <c r="O2" s="110"/>
      <c r="P2" s="110"/>
      <c r="Q2" s="110"/>
      <c r="R2" s="110"/>
      <c r="S2" s="110"/>
      <c r="T2" s="110"/>
      <c r="U2" s="110"/>
      <c r="V2" s="110"/>
      <c r="W2" s="110"/>
      <c r="X2" s="110"/>
    </row>
    <row r="3" customFormat="false" ht="14.25" hidden="false" customHeight="true" outlineLevel="0" collapsed="false">
      <c r="A3" s="80" t="s">
        <v>313</v>
      </c>
      <c r="B3" s="81" t="s">
        <v>78</v>
      </c>
      <c r="C3" s="111" t="s">
        <v>314</v>
      </c>
      <c r="D3" s="112" t="s">
        <v>315</v>
      </c>
      <c r="E3" s="111" t="s">
        <v>314</v>
      </c>
      <c r="F3" s="112" t="s">
        <v>315</v>
      </c>
      <c r="G3" s="111" t="s">
        <v>79</v>
      </c>
      <c r="H3" s="111" t="s">
        <v>314</v>
      </c>
      <c r="I3" s="112" t="s">
        <v>315</v>
      </c>
      <c r="J3" s="111" t="s">
        <v>314</v>
      </c>
      <c r="K3" s="112" t="s">
        <v>315</v>
      </c>
      <c r="L3" s="82"/>
      <c r="N3" s="113" t="s">
        <v>316</v>
      </c>
      <c r="O3" s="114" t="s">
        <v>314</v>
      </c>
      <c r="P3" s="114"/>
      <c r="Q3" s="114"/>
      <c r="R3" s="114"/>
      <c r="S3" s="82" t="s">
        <v>315</v>
      </c>
      <c r="T3" s="82"/>
      <c r="U3" s="82"/>
      <c r="V3" s="82"/>
      <c r="W3" s="82"/>
      <c r="X3" s="82"/>
    </row>
    <row r="4" customFormat="false" ht="14.25" hidden="false" customHeight="true" outlineLevel="0" collapsed="false">
      <c r="A4" s="56" t="s">
        <v>287</v>
      </c>
      <c r="B4" s="57" t="s">
        <v>288</v>
      </c>
      <c r="C4" s="115" t="s">
        <v>290</v>
      </c>
      <c r="D4" s="115"/>
      <c r="E4" s="115" t="s">
        <v>311</v>
      </c>
      <c r="F4" s="115"/>
      <c r="G4" s="57" t="s">
        <v>288</v>
      </c>
      <c r="H4" s="115" t="s">
        <v>290</v>
      </c>
      <c r="I4" s="115"/>
      <c r="J4" s="115" t="s">
        <v>311</v>
      </c>
      <c r="K4" s="115"/>
      <c r="L4" s="56" t="s">
        <v>63</v>
      </c>
      <c r="N4" s="116" t="s">
        <v>256</v>
      </c>
      <c r="O4" s="117" t="s">
        <v>317</v>
      </c>
      <c r="P4" s="117"/>
      <c r="Q4" s="118" t="s">
        <v>318</v>
      </c>
      <c r="R4" s="118"/>
      <c r="S4" s="117" t="s">
        <v>317</v>
      </c>
      <c r="T4" s="117"/>
      <c r="U4" s="117" t="s">
        <v>318</v>
      </c>
      <c r="V4" s="117"/>
      <c r="W4" s="119" t="s">
        <v>319</v>
      </c>
      <c r="X4" s="119" t="s">
        <v>63</v>
      </c>
    </row>
    <row r="5" customFormat="false" ht="14.25" hidden="false" customHeight="true" outlineLevel="0" collapsed="false">
      <c r="A5" s="120" t="s">
        <v>291</v>
      </c>
      <c r="B5" s="121" t="n">
        <f aca="false">Routing!H19</f>
        <v>255.35900949</v>
      </c>
      <c r="C5" s="122" t="n">
        <f aca="false">B5*Parameters!$C$30/Constants!$B$8</f>
        <v>279.298916629688</v>
      </c>
      <c r="D5" s="123" t="n">
        <f aca="false">B5*Empirical!E4</f>
        <v>255.35900949</v>
      </c>
      <c r="E5" s="122" t="n">
        <f aca="false">IFERROR(B5/Theoretical!C4,NA())</f>
        <v>4664.09149753425</v>
      </c>
      <c r="F5" s="123" t="n">
        <f aca="false">IFERROR(B5/Empirical!C4,NA())</f>
        <v>1890.84790440578</v>
      </c>
      <c r="G5" s="121" t="n">
        <f aca="false">Routing!I19</f>
        <v>9.67619419065801</v>
      </c>
      <c r="H5" s="122" t="n">
        <f aca="false">G5*Parameters!$D$30/Constants!$B$8</f>
        <v>12.2757687493423</v>
      </c>
      <c r="I5" s="123" t="n">
        <f aca="false">G5*Empirical!I4</f>
        <v>12.2761875696878</v>
      </c>
      <c r="J5" s="122" t="n">
        <f aca="false">IFERROR(G5/Theoretical!G4,NA())</f>
        <v>25.2477343526628</v>
      </c>
      <c r="K5" s="123" t="n">
        <f aca="false">IFERROR(G5/Empirical!G4,NA())</f>
        <v>15.9399955459168</v>
      </c>
      <c r="L5" s="124"/>
      <c r="N5" s="125" t="s">
        <v>320</v>
      </c>
      <c r="O5" s="126" t="n">
        <f aca="false">B16</f>
        <v>1888.148623108</v>
      </c>
      <c r="P5" s="127" t="n">
        <f aca="false">O5/SUM(O6:O9)</f>
        <v>0.54417373483715</v>
      </c>
      <c r="Q5" s="128" t="n">
        <f aca="false">G16</f>
        <v>3032.05084848</v>
      </c>
      <c r="R5" s="127" t="n">
        <f aca="false">Q5/SUM(Q6:Q9)</f>
        <v>0.873851991437824</v>
      </c>
      <c r="S5" s="128" t="n">
        <f aca="false">B16</f>
        <v>1888.148623108</v>
      </c>
      <c r="T5" s="127" t="n">
        <f aca="false">S5/SUM(S6:S9)</f>
        <v>0.54417373483715</v>
      </c>
      <c r="U5" s="128" t="n">
        <f aca="false">G16</f>
        <v>3032.05084848</v>
      </c>
      <c r="V5" s="127" t="n">
        <f aca="false">U5/SUM(U6:U9)</f>
        <v>0.873851991437824</v>
      </c>
      <c r="W5" s="125" t="s">
        <v>321</v>
      </c>
      <c r="X5" s="129" t="s">
        <v>322</v>
      </c>
    </row>
    <row r="6" customFormat="false" ht="14.25" hidden="false" customHeight="true" outlineLevel="0" collapsed="false">
      <c r="A6" s="130" t="s">
        <v>292</v>
      </c>
      <c r="B6" s="131" t="n">
        <f aca="false">Routing!H20</f>
        <v>85.11966983</v>
      </c>
      <c r="C6" s="132" t="n">
        <f aca="false">B6*Parameters!$C$31/Constants!$B$8</f>
        <v>103.175357369697</v>
      </c>
      <c r="D6" s="102" t="n">
        <f aca="false">B6*Empirical!E5</f>
        <v>85.11966983</v>
      </c>
      <c r="E6" s="132" t="n">
        <f aca="false">IFERROR(B6/Theoretical!C5,NA())</f>
        <v>878.390040752092</v>
      </c>
      <c r="F6" s="102" t="n">
        <f aca="false">IFERROR(B6/Empirical!C5,NA())</f>
        <v>50.6966467123288</v>
      </c>
      <c r="G6" s="131" t="n">
        <f aca="false">Routing!I20</f>
        <v>29.028582571974</v>
      </c>
      <c r="H6" s="132" t="n">
        <f aca="false">G6*Parameters!$D$31/Constants!$B$8</f>
        <v>36.8273062480268</v>
      </c>
      <c r="I6" s="102" t="n">
        <f aca="false">G6*Empirical!I5</f>
        <v>36.8285627090635</v>
      </c>
      <c r="J6" s="132" t="n">
        <f aca="false">IFERROR(G6/Theoretical!G5,NA())</f>
        <v>24.8907530909946</v>
      </c>
      <c r="K6" s="102" t="n">
        <f aca="false">IFERROR(G6/Empirical!G5,NA())</f>
        <v>1.84393588826121</v>
      </c>
      <c r="L6" s="133"/>
      <c r="N6" s="134" t="s">
        <v>323</v>
      </c>
      <c r="O6" s="135" t="n">
        <f aca="false">C16*Constants!$B$8</f>
        <v>846.518458194458</v>
      </c>
      <c r="P6" s="136" t="n">
        <f aca="false">O6/SUM(O6:O9)</f>
        <v>0.243970789887293</v>
      </c>
      <c r="Q6" s="137" t="n">
        <f aca="false">H16*Constants!$B$8</f>
        <v>1459.36408783779</v>
      </c>
      <c r="R6" s="136" t="n">
        <f aca="false">Q6/SUM(Q6:Q9)</f>
        <v>0.420595919434926</v>
      </c>
      <c r="S6" s="137" t="n">
        <f aca="false">D16*Constants!$B$8</f>
        <v>847.1738937558</v>
      </c>
      <c r="T6" s="136" t="n">
        <f aca="false">S6/SUM(S6:S9)</f>
        <v>0.244159689644969</v>
      </c>
      <c r="U6" s="137" t="n">
        <f aca="false">I16*Constants!$B$8</f>
        <v>1379.49426479357</v>
      </c>
      <c r="V6" s="136" t="n">
        <f aca="false">U6/SUM(U6:U9)</f>
        <v>0.397577042967875</v>
      </c>
      <c r="W6" s="134" t="s">
        <v>324</v>
      </c>
      <c r="X6" s="138" t="s">
        <v>325</v>
      </c>
    </row>
    <row r="7" customFormat="false" ht="14.25" hidden="false" customHeight="true" outlineLevel="0" collapsed="false">
      <c r="A7" s="130" t="s">
        <v>293</v>
      </c>
      <c r="B7" s="131" t="n">
        <f aca="false">Routing!H21</f>
        <v>37.45322484</v>
      </c>
      <c r="C7" s="132" t="n">
        <f aca="false">B7*Parameters!$C$32/Constants!$B$8</f>
        <v>10.5999692943396</v>
      </c>
      <c r="D7" s="102" t="n">
        <f aca="false">B7*Empirical!E6</f>
        <v>1.19850319488</v>
      </c>
      <c r="E7" s="132" t="n">
        <f aca="false">IFERROR(B7/Theoretical!C6,NA())</f>
        <v>64.8632554775937</v>
      </c>
      <c r="F7" s="102" t="n">
        <f aca="false">IFERROR(B7/Empirical!C6,NA())</f>
        <v>6.98631999347129</v>
      </c>
      <c r="G7" s="131" t="n">
        <f aca="false">Routing!I21</f>
        <v>311.86479842784</v>
      </c>
      <c r="H7" s="132" t="n">
        <f aca="false">G7*Parameters!$D$32/Constants!$B$8</f>
        <v>115.5054808992</v>
      </c>
      <c r="I7" s="102" t="n">
        <f aca="false">G7*Empirical!I6</f>
        <v>118.508623402579</v>
      </c>
      <c r="J7" s="132" t="n">
        <f aca="false">IFERROR(G7/Theoretical!G6,NA())</f>
        <v>40.5076589158402</v>
      </c>
      <c r="K7" s="102" t="n">
        <f aca="false">IFERROR(G7/Empirical!G6,NA())</f>
        <v>204.201987425828</v>
      </c>
      <c r="L7" s="133"/>
      <c r="N7" s="134" t="s">
        <v>326</v>
      </c>
      <c r="O7" s="135" t="n">
        <f aca="false">O5-O6+Routing!B39</f>
        <v>1075.67803284554</v>
      </c>
      <c r="P7" s="136" t="n">
        <f aca="false">O7/SUM(O6:O9)</f>
        <v>0.310015708219149</v>
      </c>
      <c r="Q7" s="137" t="n">
        <f aca="false">Q5-Q6+Routing!C39</f>
        <v>1572.68676064221</v>
      </c>
      <c r="R7" s="136" t="n">
        <f aca="false">Q7/SUM(Q6:Q9)</f>
        <v>0.453256072002897</v>
      </c>
      <c r="S7" s="137" t="n">
        <f aca="false">S5-S6+Routing!B39</f>
        <v>1075.0225972842</v>
      </c>
      <c r="T7" s="136" t="n">
        <f aca="false">S7/SUM(S6:S9)</f>
        <v>0.309826808461473</v>
      </c>
      <c r="U7" s="137" t="n">
        <f aca="false">U5-U6+Routing!C39</f>
        <v>1652.55658368643</v>
      </c>
      <c r="V7" s="136" t="n">
        <f aca="false">U7/SUM(U6:U9)</f>
        <v>0.476274948469948</v>
      </c>
      <c r="W7" s="134" t="s">
        <v>327</v>
      </c>
      <c r="X7" s="138" t="s">
        <v>328</v>
      </c>
    </row>
    <row r="8" customFormat="false" ht="14.25" hidden="false" customHeight="true" outlineLevel="0" collapsed="false">
      <c r="A8" s="130" t="s">
        <v>294</v>
      </c>
      <c r="B8" s="131" t="n">
        <f aca="false">Routing!H22</f>
        <v>388.965246948</v>
      </c>
      <c r="C8" s="132" t="n">
        <f aca="false">B8*Parameters!$C$33/Constants!$B$8</f>
        <v>350.706370199017</v>
      </c>
      <c r="D8" s="139" t="n">
        <f aca="false">B8*Empirical!E7</f>
        <v>540.66169325772</v>
      </c>
      <c r="E8" s="132" t="n">
        <f aca="false">IFERROR(B8/Theoretical!C7,NA())</f>
        <v>726.0318114888</v>
      </c>
      <c r="F8" s="139" t="n">
        <f aca="false">IFERROR(B8/Empirical!C7,NA())</f>
        <v>2743.08317228676</v>
      </c>
      <c r="G8" s="131" t="n">
        <f aca="false">Routing!I22</f>
        <v>1467.59026328953</v>
      </c>
      <c r="H8" s="132" t="n">
        <f aca="false">G8*Parameters!$D$33/Constants!$B$8</f>
        <v>1514.18043037808</v>
      </c>
      <c r="I8" s="139" t="n">
        <f aca="false">G8*Empirical!I7</f>
        <v>1514.11287463581</v>
      </c>
      <c r="J8" s="132" t="n">
        <f aca="false">IFERROR(G8/Theoretical!G7,NA())</f>
        <v>513.630664503429</v>
      </c>
      <c r="K8" s="139" t="n">
        <f aca="false">IFERROR(G8/Empirical!G7,NA())</f>
        <v>744.749452613466</v>
      </c>
      <c r="L8" s="133"/>
      <c r="N8" s="134" t="s">
        <v>329</v>
      </c>
      <c r="O8" s="135" t="n">
        <f aca="false">Routing!B37+Routing!B38</f>
        <v>73.43696496</v>
      </c>
      <c r="P8" s="136" t="n">
        <f aca="false">O8/SUM(O6:O9)</f>
        <v>0.0211648950767486</v>
      </c>
      <c r="Q8" s="137" t="n">
        <f aca="false">Routing!C37+Routing!C38</f>
        <v>273.91137552</v>
      </c>
      <c r="R8" s="136" t="n">
        <f aca="false">Q8/SUM(Q6:Q9)</f>
        <v>0.0789426078047531</v>
      </c>
      <c r="S8" s="137" t="n">
        <f aca="false">Routing!B37+Routing!B38</f>
        <v>73.43696496</v>
      </c>
      <c r="T8" s="136" t="n">
        <f aca="false">S8/SUM(S6:S9)</f>
        <v>0.0211648950767486</v>
      </c>
      <c r="U8" s="137" t="n">
        <f aca="false">Routing!C37+Routing!C38</f>
        <v>273.91137552</v>
      </c>
      <c r="V8" s="136" t="n">
        <f aca="false">U8/SUM(U6:U9)</f>
        <v>0.0789426078047531</v>
      </c>
      <c r="W8" s="134" t="s">
        <v>330</v>
      </c>
      <c r="X8" s="138" t="s">
        <v>331</v>
      </c>
    </row>
    <row r="9" customFormat="false" ht="14.25" hidden="false" customHeight="true" outlineLevel="0" collapsed="false">
      <c r="A9" s="130" t="s">
        <v>332</v>
      </c>
      <c r="B9" s="131" t="n">
        <f aca="false">Routing!H23</f>
        <v>166.596912</v>
      </c>
      <c r="C9" s="132" t="n">
        <f aca="false">B9*Parameters!$C$34/Constants!$B$8</f>
        <v>150.210330491803</v>
      </c>
      <c r="D9" s="102" t="n">
        <f aca="false">B9*Empirical!E8</f>
        <v>150.270414624</v>
      </c>
      <c r="E9" s="132" t="n">
        <f aca="false">IFERROR(B9/Theoretical!C8,NA())</f>
        <v>103.65506837853</v>
      </c>
      <c r="F9" s="102" t="n">
        <f aca="false">IFERROR(B9/Empirical!C8,NA())</f>
        <v>391.163673247649</v>
      </c>
      <c r="G9" s="131" t="n">
        <f aca="false">Routing!I23</f>
        <v>122.11965</v>
      </c>
      <c r="H9" s="132" t="n">
        <f aca="false">G9*Parameters!$D$34/Constants!$B$8</f>
        <v>125.996464285714</v>
      </c>
      <c r="I9" s="102" t="n">
        <f aca="false">G9*Empirical!I8</f>
        <v>147.25187397</v>
      </c>
      <c r="J9" s="132" t="n">
        <f aca="false">IFERROR(G9/Theoretical!G8,NA())</f>
        <v>17.09588801382</v>
      </c>
      <c r="K9" s="102" t="n">
        <f aca="false">IFERROR(G9/Empirical!G8,NA())</f>
        <v>43.4496275388939</v>
      </c>
      <c r="L9" s="133"/>
      <c r="N9" s="134" t="s">
        <v>333</v>
      </c>
      <c r="O9" s="135" t="n">
        <f aca="false">Routing!B36</f>
        <v>1474.119864</v>
      </c>
      <c r="P9" s="136" t="n">
        <f aca="false">O9/SUM(O6:O9)</f>
        <v>0.42484860681681</v>
      </c>
      <c r="Q9" s="137" t="n">
        <f aca="false">Routing!C36</f>
        <v>163.791096</v>
      </c>
      <c r="R9" s="136" t="n">
        <f aca="false">Q9/SUM(Q6:Q9)</f>
        <v>0.0472054007574233</v>
      </c>
      <c r="S9" s="137" t="n">
        <f aca="false">Routing!B36</f>
        <v>1474.119864</v>
      </c>
      <c r="T9" s="136" t="n">
        <f aca="false">S9/SUM(S6:S9)</f>
        <v>0.42484860681681</v>
      </c>
      <c r="U9" s="137" t="n">
        <f aca="false">Routing!C36</f>
        <v>163.791096</v>
      </c>
      <c r="V9" s="136" t="n">
        <f aca="false">U9/SUM(U6:U9)</f>
        <v>0.0472054007574233</v>
      </c>
      <c r="W9" s="134" t="s">
        <v>334</v>
      </c>
      <c r="X9" s="138" t="s">
        <v>335</v>
      </c>
    </row>
    <row r="10" customFormat="false" ht="14.25" hidden="false" customHeight="true" outlineLevel="0" collapsed="false">
      <c r="A10" s="130" t="s">
        <v>336</v>
      </c>
      <c r="B10" s="131" t="n">
        <f aca="false">Routing!H24</f>
        <v>25.7094</v>
      </c>
      <c r="C10" s="132" t="n">
        <f aca="false">B10*Parameters!$C$34/Constants!$B$8</f>
        <v>23.1806065573771</v>
      </c>
      <c r="D10" s="102" t="n">
        <f aca="false">B10*Empirical!E9</f>
        <v>0</v>
      </c>
      <c r="E10" s="132" t="n">
        <f aca="false">IFERROR(B10/Theoretical!C9,NA())</f>
        <v>15.9961525275509</v>
      </c>
      <c r="F10" s="102" t="e">
        <f aca="false">IFERROR(B10/Empirical!C9,NA())</f>
        <v>#N/A</v>
      </c>
      <c r="G10" s="131" t="n">
        <f aca="false">Routing!I24</f>
        <v>42.849</v>
      </c>
      <c r="H10" s="132" t="n">
        <f aca="false">G10*Parameters!$D$34/Constants!$B$8</f>
        <v>44.2092857142857</v>
      </c>
      <c r="I10" s="102" t="n">
        <f aca="false">G10*Empirical!I9</f>
        <v>0</v>
      </c>
      <c r="J10" s="132" t="n">
        <f aca="false">IFERROR(G10/Theoretical!G9,NA())</f>
        <v>5.9985571978316</v>
      </c>
      <c r="K10" s="102" t="e">
        <f aca="false">IFERROR(G10/Empirical!G9,NA())</f>
        <v>#N/A</v>
      </c>
      <c r="L10" s="133"/>
      <c r="N10" s="140" t="s">
        <v>337</v>
      </c>
      <c r="O10" s="141" t="n">
        <f aca="false">O8+O9</f>
        <v>1547.55682896</v>
      </c>
      <c r="P10" s="142" t="n">
        <f aca="false">O10/SUM(O6:O9)</f>
        <v>0.446013501893558</v>
      </c>
      <c r="Q10" s="143" t="n">
        <f aca="false">Q8+Q9</f>
        <v>437.70247152</v>
      </c>
      <c r="R10" s="142" t="n">
        <f aca="false">Q10/SUM(Q6:Q9)</f>
        <v>0.126148008562176</v>
      </c>
      <c r="S10" s="143" t="n">
        <f aca="false">S8+S9</f>
        <v>1547.55682896</v>
      </c>
      <c r="T10" s="142" t="n">
        <f aca="false">S10/SUM(S6:S9)</f>
        <v>0.446013501893558</v>
      </c>
      <c r="U10" s="143" t="n">
        <f aca="false">U8+U9</f>
        <v>437.70247152</v>
      </c>
      <c r="V10" s="142" t="n">
        <f aca="false">U10/SUM(U6:U9)</f>
        <v>0.126148008562176</v>
      </c>
      <c r="W10" s="140" t="s">
        <v>338</v>
      </c>
      <c r="X10" s="144" t="s">
        <v>339</v>
      </c>
    </row>
    <row r="11" customFormat="false" ht="14.25" hidden="false" customHeight="true" outlineLevel="0" collapsed="false">
      <c r="A11" s="130" t="s">
        <v>297</v>
      </c>
      <c r="B11" s="131" t="n">
        <f aca="false">Routing!H25</f>
        <v>8.5698</v>
      </c>
      <c r="C11" s="132" t="n">
        <f aca="false">B11*(Parameters!$C$34/Constants!$B$8)*(1+Parameters!$C$37)</f>
        <v>8.88589918032787</v>
      </c>
      <c r="D11" s="139" t="n">
        <f aca="false">B11*Empirical!E9*(1+Parameters!$C$37)</f>
        <v>0</v>
      </c>
      <c r="E11" s="132" t="n">
        <f aca="false">IFERROR(B11/Theoretical!C10,NA())</f>
        <v>5.33205084251698</v>
      </c>
      <c r="F11" s="139" t="e">
        <f aca="false">IFERROR(B11/Empirical!C9,NA())</f>
        <v>#N/A</v>
      </c>
      <c r="G11" s="131" t="n">
        <f aca="false">Routing!I25</f>
        <v>128.547</v>
      </c>
      <c r="H11" s="132" t="n">
        <f aca="false">G11*(Parameters!$D$34/Constants!$B$8)*(1+Parameters!$D$37)</f>
        <v>179.047607142857</v>
      </c>
      <c r="I11" s="139" t="n">
        <f aca="false">G11*Empirical!I9*(1+Parameters!$D$37)</f>
        <v>0</v>
      </c>
      <c r="J11" s="132" t="n">
        <f aca="false">IFERROR(G11/Theoretical!G10,NA())</f>
        <v>17.9956715934948</v>
      </c>
      <c r="K11" s="139" t="e">
        <f aca="false">IFERROR(G11/Empirical!G9,NA())</f>
        <v>#N/A</v>
      </c>
      <c r="L11" s="133"/>
      <c r="N11" s="6" t="s">
        <v>340</v>
      </c>
      <c r="O11" s="39" t="str">
        <f aca="false">IF(ABS(ROUND(SUM(O6:O9),0)-ROUND(Inputs!$C$12,0))=0,"OK","VIOLATION")</f>
        <v>OK</v>
      </c>
      <c r="P11" s="136" t="str">
        <f aca="false">IF(ABS(ROUND(SUM(P6:P9),0)-ROUND(SUM(P5+P10),0))=0,"OK","VIOLATION")</f>
        <v>OK</v>
      </c>
      <c r="Q11" s="39" t="str">
        <f aca="false">IF(ABS(ROUND(SUM(Q6:Q9),0)-ROUND(Inputs!$C$12,0))=0,"OK","VIOLATION")</f>
        <v>OK</v>
      </c>
      <c r="R11" s="136" t="str">
        <f aca="false">IF(ABS(ROUND(SUM(R6:R9),0)-ROUND(SUM(R5+R10),0))=0,"OK","VIOLATION")</f>
        <v>OK</v>
      </c>
      <c r="S11" s="39" t="str">
        <f aca="false">IF(ABS(ROUND(SUM(S6:S9),0)-ROUND(Inputs!$C$12,0))=0,"OK","VIOLATION")</f>
        <v>OK</v>
      </c>
      <c r="T11" s="136" t="str">
        <f aca="false">IF(ABS(ROUND(SUM(T6:T9),0)-ROUND(SUM(T5+T10),0))=0,"OK","VIOLATION")</f>
        <v>OK</v>
      </c>
      <c r="U11" s="39" t="str">
        <f aca="false">IF(ABS(ROUND(SUM(U6:U9),0)-ROUND(Inputs!$C$12,0))=0,"OK","VIOLATION")</f>
        <v>OK</v>
      </c>
      <c r="V11" s="136" t="str">
        <f aca="false">IF(ABS(ROUND(SUM(V6:V9),0)-ROUND(SUM(V5+V10),0))=0,"OK","VIOLATION")</f>
        <v>OK</v>
      </c>
    </row>
    <row r="12" customFormat="false" ht="14.25" hidden="false" customHeight="true" outlineLevel="0" collapsed="false">
      <c r="A12" s="130" t="s">
        <v>298</v>
      </c>
      <c r="B12" s="131" t="e">
        <f aca="false">NA()</f>
        <v>#N/A</v>
      </c>
      <c r="C12" s="132" t="n">
        <v>0</v>
      </c>
      <c r="D12" s="139" t="e">
        <f aca="false">B12*Empirical!E11</f>
        <v>#N/A</v>
      </c>
      <c r="E12" s="132" t="n">
        <f aca="false">IFERROR(Routing!B20/Theoretical!C11,NA())</f>
        <v>1690.48109589041</v>
      </c>
      <c r="F12" s="139" t="n">
        <f aca="false">IFERROR(Routing!B20/Empirical!C11,NA())</f>
        <v>347.835616438356</v>
      </c>
      <c r="G12" s="131" t="e">
        <f aca="false">NA()</f>
        <v>#N/A</v>
      </c>
      <c r="H12" s="132" t="n">
        <v>0</v>
      </c>
      <c r="I12" s="139" t="e">
        <f aca="false">G12*Empirical!I11</f>
        <v>#N/A</v>
      </c>
      <c r="J12" s="132" t="n">
        <f aca="false">IFERROR(Routing!C20/Theoretical!G11,NA())</f>
        <v>234.78904109589</v>
      </c>
      <c r="K12" s="139" t="n">
        <f aca="false">IFERROR(Routing!C20/Empirical!G11,NA())</f>
        <v>52.1753424657534</v>
      </c>
      <c r="L12" s="133"/>
    </row>
    <row r="13" customFormat="false" ht="14.25" hidden="false" customHeight="true" outlineLevel="0" collapsed="false">
      <c r="A13" s="130" t="s">
        <v>299</v>
      </c>
      <c r="B13" s="131" t="n">
        <f aca="false">Routing!H26</f>
        <v>614.24306</v>
      </c>
      <c r="C13" s="132" t="n">
        <f aca="false">B13*Parameters!$C$35/Constants!$B$8</f>
        <v>511.869216666667</v>
      </c>
      <c r="D13" s="139" t="n">
        <f aca="false">B13*Empirical!E12</f>
        <v>565.1036152</v>
      </c>
      <c r="E13" s="132" t="n">
        <f aca="false">IFERROR(B13/Theoretical!C12,NA())</f>
        <v>1529.87063511831</v>
      </c>
      <c r="F13" s="139" t="n">
        <f aca="false">IFERROR(B13/Empirical!C12,NA())</f>
        <v>2345.80164051474</v>
      </c>
      <c r="G13" s="131" t="n">
        <f aca="false">Routing!I26</f>
        <v>614.24306</v>
      </c>
      <c r="H13" s="132" t="n">
        <f aca="false">G13*Parameters!$D$35/Constants!$B$8</f>
        <v>594.428767741935</v>
      </c>
      <c r="I13" s="139" t="n">
        <f aca="false">G13*Empirical!I12</f>
        <v>755.5189638</v>
      </c>
      <c r="J13" s="132" t="n">
        <f aca="false">IFERROR(G13/Theoretical!G12,NA())</f>
        <v>210.25776608805</v>
      </c>
      <c r="K13" s="139" t="n">
        <f aca="false">IFERROR(G13/Empirical!G12,NA())</f>
        <v>344.985828219178</v>
      </c>
      <c r="L13" s="133"/>
    </row>
    <row r="14" customFormat="false" ht="14.25" hidden="false" customHeight="true" outlineLevel="0" collapsed="false">
      <c r="A14" s="130" t="s">
        <v>300</v>
      </c>
      <c r="B14" s="131" t="n">
        <f aca="false">Routing!H27</f>
        <v>225.59205</v>
      </c>
      <c r="C14" s="132" t="n">
        <f aca="false">B14*Parameters!$C$35/Constants!$B$8</f>
        <v>187.993375</v>
      </c>
      <c r="D14" s="139" t="n">
        <f aca="false">B14*Empirical!E13</f>
        <v>44.283719415</v>
      </c>
      <c r="E14" s="132" t="n">
        <f aca="false">IFERROR(B14/Theoretical!C13,NA())</f>
        <v>1329.16217410517</v>
      </c>
      <c r="F14" s="139" t="n">
        <f aca="false">IFERROR(B14/Empirical!C13,NA())</f>
        <v>3466.43596203522</v>
      </c>
      <c r="G14" s="131" t="n">
        <f aca="false">Routing!I27</f>
        <v>225.59205</v>
      </c>
      <c r="H14" s="132" t="n">
        <f aca="false">G14*Parameters!$D$35/Constants!$B$8</f>
        <v>218.314887096774</v>
      </c>
      <c r="I14" s="139" t="n">
        <f aca="false">G14*Empirical!I13</f>
        <v>117.307866</v>
      </c>
      <c r="J14" s="132" t="n">
        <f aca="false">IFERROR(G14/Theoretical!G13,NA())</f>
        <v>82.353591619263</v>
      </c>
      <c r="K14" s="139" t="n">
        <f aca="false">IFERROR(G14/Empirical!G13,NA())</f>
        <v>3807.95513860936</v>
      </c>
      <c r="L14" s="133"/>
    </row>
    <row r="15" customFormat="false" ht="14.25" hidden="false" customHeight="true" outlineLevel="0" collapsed="false">
      <c r="A15" s="145" t="s">
        <v>301</v>
      </c>
      <c r="B15" s="146" t="n">
        <f aca="false">Routing!H28</f>
        <v>80.54025</v>
      </c>
      <c r="C15" s="147" t="n">
        <f aca="false">B15*Parameters!$C$35/Constants!$B$8</f>
        <v>67.116875</v>
      </c>
      <c r="D15" s="148" t="n">
        <f aca="false">B15*Empirical!E14</f>
        <v>52.3511625</v>
      </c>
      <c r="E15" s="147" t="n">
        <f aca="false">IFERROR(B15/Theoretical!C14,NA())</f>
        <v>2372.66902342024</v>
      </c>
      <c r="F15" s="148" t="n">
        <f aca="false">IFERROR(B15/Empirical!C14,NA())</f>
        <v>14342.7842465753</v>
      </c>
      <c r="G15" s="146" t="n">
        <f aca="false">Routing!I28</f>
        <v>80.54025</v>
      </c>
      <c r="H15" s="147" t="n">
        <f aca="false">G15*Parameters!$D$35/Constants!$B$8</f>
        <v>77.9421774193548</v>
      </c>
      <c r="I15" s="148" t="n">
        <f aca="false">G15*Empirical!I14</f>
        <v>57.1835775</v>
      </c>
      <c r="J15" s="147" t="n">
        <f aca="false">IFERROR(G15/Theoretical!G14,NA())</f>
        <v>147.00825799077</v>
      </c>
      <c r="K15" s="139" t="n">
        <f aca="false">IFERROR(G15/Empirical!G14,NA())</f>
        <v>203.464072229141</v>
      </c>
      <c r="L15" s="133"/>
    </row>
    <row r="16" customFormat="false" ht="14.25" hidden="false" customHeight="true" outlineLevel="0" collapsed="false">
      <c r="A16" s="140" t="s">
        <v>341</v>
      </c>
      <c r="B16" s="149" t="n">
        <f aca="false">_xlfn.AGGREGATE(9,6,B5:B15)</f>
        <v>1888.148623108</v>
      </c>
      <c r="C16" s="150" t="n">
        <f aca="false">_xlfn.AGGREGATE(9,6,C5:C15)</f>
        <v>1693.03691638892</v>
      </c>
      <c r="D16" s="151" t="n">
        <f aca="false">_xlfn.AGGREGATE(9,6,D5:D15)</f>
        <v>1694.3477875116</v>
      </c>
      <c r="E16" s="150" t="n">
        <f aca="false">_xlfn.AGGREGATE(9,6,E5:E15)</f>
        <v>13380.5428055355</v>
      </c>
      <c r="F16" s="151" t="n">
        <f aca="false">_xlfn.AGGREGATE(9,6,F5:F15)</f>
        <v>25585.6351822096</v>
      </c>
      <c r="G16" s="149" t="n">
        <f aca="false">_xlfn.AGGREGATE(9,6,G5:G15)</f>
        <v>3032.05084848</v>
      </c>
      <c r="H16" s="150" t="n">
        <f aca="false">_xlfn.AGGREGATE(9,6,H5:H15)</f>
        <v>2918.72817567558</v>
      </c>
      <c r="I16" s="151" t="n">
        <f aca="false">_xlfn.AGGREGATE(9,6,I5:I15)</f>
        <v>2758.98852958714</v>
      </c>
      <c r="J16" s="150" t="n">
        <f aca="false">_xlfn.AGGREGATE(9,6,J5:J15)</f>
        <v>1319.77558446205</v>
      </c>
      <c r="K16" s="152" t="n">
        <f aca="false">_xlfn.AGGREGATE(9,6,K5:K15)</f>
        <v>5418.7653805358</v>
      </c>
      <c r="L16" s="153" t="s">
        <v>342</v>
      </c>
    </row>
    <row r="18" customFormat="false" ht="14.25" hidden="false" customHeight="true" outlineLevel="0" collapsed="false">
      <c r="A18" s="6" t="s">
        <v>302</v>
      </c>
    </row>
    <row r="19" customFormat="false" ht="14.25" hidden="false" customHeight="true" outlineLevel="0" collapsed="false">
      <c r="A19" s="6" t="s">
        <v>303</v>
      </c>
    </row>
    <row r="20" customFormat="false" ht="14.25" hidden="false" customHeight="true" outlineLevel="0" collapsed="false">
      <c r="A20" s="1" t="s">
        <v>304</v>
      </c>
    </row>
    <row r="21" customFormat="false" ht="14.25" hidden="false" customHeight="true" outlineLevel="0" collapsed="false">
      <c r="A21" s="6" t="s">
        <v>305</v>
      </c>
    </row>
    <row r="22" customFormat="false" ht="14.25" hidden="false" customHeight="true" outlineLevel="0" collapsed="false">
      <c r="B22" s="39"/>
    </row>
  </sheetData>
  <mergeCells count="14">
    <mergeCell ref="A1:L1"/>
    <mergeCell ref="N1:X1"/>
    <mergeCell ref="A2:L2"/>
    <mergeCell ref="N2:X2"/>
    <mergeCell ref="O3:R3"/>
    <mergeCell ref="S3:V3"/>
    <mergeCell ref="C4:D4"/>
    <mergeCell ref="E4:F4"/>
    <mergeCell ref="H4:I4"/>
    <mergeCell ref="J4:K4"/>
    <mergeCell ref="O4:P4"/>
    <mergeCell ref="Q4:R4"/>
    <mergeCell ref="S4:T4"/>
    <mergeCell ref="U4:V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0" width="16"/>
    <col collapsed="false" customWidth="true" hidden="false" outlineLevel="0" max="2" min="2" style="40" width="42"/>
    <col collapsed="false" customWidth="true" hidden="false" outlineLevel="0" max="4" min="3" style="40" width="12"/>
    <col collapsed="false" customWidth="true" hidden="false" outlineLevel="0" max="5" min="5" style="40" width="14"/>
    <col collapsed="false" customWidth="true" hidden="false" outlineLevel="0" max="6" min="6" style="40" width="16"/>
    <col collapsed="false" customWidth="true" hidden="false" outlineLevel="0" max="7" min="7" style="40" width="14"/>
    <col collapsed="false" customWidth="true" hidden="false" outlineLevel="0" max="8" min="8" style="40" width="12"/>
    <col collapsed="false" customWidth="true" hidden="false" outlineLevel="0" max="9" min="9" style="40" width="15"/>
    <col collapsed="false" customWidth="true" hidden="false" outlineLevel="0" max="10" min="10" style="40" width="16"/>
  </cols>
  <sheetData>
    <row r="1" customFormat="false" ht="15" hidden="false" customHeight="true" outlineLevel="0" collapsed="false">
      <c r="A1" s="154" t="s">
        <v>343</v>
      </c>
    </row>
    <row r="2" customFormat="false" ht="30" hidden="false" customHeight="true" outlineLevel="0" collapsed="false">
      <c r="A2" s="155" t="s">
        <v>344</v>
      </c>
      <c r="B2" s="155"/>
      <c r="C2" s="155"/>
      <c r="D2" s="155"/>
      <c r="E2" s="155"/>
      <c r="F2" s="155"/>
      <c r="G2" s="155"/>
      <c r="H2" s="155"/>
      <c r="I2" s="155"/>
      <c r="J2" s="155"/>
    </row>
    <row r="3" customFormat="false" ht="15" hidden="false" customHeight="true" outlineLevel="0" collapsed="false">
      <c r="A3" s="156" t="s">
        <v>345</v>
      </c>
    </row>
    <row r="4" customFormat="false" ht="30" hidden="false" customHeight="true" outlineLevel="0" collapsed="false">
      <c r="A4" s="157" t="s">
        <v>257</v>
      </c>
      <c r="B4" s="157" t="s">
        <v>258</v>
      </c>
      <c r="C4" s="157" t="s">
        <v>346</v>
      </c>
      <c r="D4" s="157" t="s">
        <v>347</v>
      </c>
      <c r="E4" s="157" t="s">
        <v>348</v>
      </c>
      <c r="F4" s="157" t="s">
        <v>288</v>
      </c>
      <c r="G4" s="157" t="s">
        <v>349</v>
      </c>
      <c r="H4" s="157" t="s">
        <v>350</v>
      </c>
      <c r="I4" s="157" t="s">
        <v>351</v>
      </c>
      <c r="J4" s="157" t="s">
        <v>352</v>
      </c>
    </row>
    <row r="5" customFormat="false" ht="15" hidden="false" customHeight="true" outlineLevel="0" collapsed="false">
      <c r="A5" s="40" t="str">
        <f aca="false">Empirical!A4</f>
        <v>CO2</v>
      </c>
      <c r="B5" s="40" t="str">
        <f aca="false">Empirical!B4</f>
        <v>Photoautotroph (aerobic, light-driven)</v>
      </c>
      <c r="C5" s="158" t="n">
        <v>200</v>
      </c>
      <c r="D5" s="159" t="n">
        <f aca="false">Inputs!$C$3</f>
        <v>365</v>
      </c>
      <c r="E5" s="160" t="n">
        <f aca="false">IFERROR(C5*Empirical!F4/1000*D5,NA())</f>
        <v>27.01</v>
      </c>
      <c r="F5" s="160" t="n">
        <f aca="false">IFERROR(Empirical!B19,NA())</f>
        <v>255.35900949</v>
      </c>
      <c r="G5" s="160" t="n">
        <f aca="false">IFERROR(MIN(E5,F5),NA())</f>
        <v>27.01</v>
      </c>
      <c r="H5" s="161" t="n">
        <f aca="false">IFERROR(MIN(1,G5/F5),NA())</f>
        <v>0.105772653386869</v>
      </c>
      <c r="I5" s="160" t="n">
        <f aca="false">IFERROR(MAX(F5-G5,0),NA())</f>
        <v>228.34900949</v>
      </c>
      <c r="J5" s="160" t="n">
        <f aca="false">IFERROR(Empirical!C19,NA())</f>
        <v>1890.84790440578</v>
      </c>
    </row>
    <row r="6" customFormat="false" ht="15" hidden="false" customHeight="true" outlineLevel="0" collapsed="false">
      <c r="A6" s="40" t="str">
        <f aca="false">Empirical!A5</f>
        <v>CO2</v>
      </c>
      <c r="B6" s="40" t="str">
        <f aca="false">Empirical!B5</f>
        <v>Lithoautotroph (aerobic, H2-oxidizer)</v>
      </c>
      <c r="C6" s="158" t="n">
        <v>200</v>
      </c>
      <c r="D6" s="159" t="n">
        <f aca="false">Inputs!$C$3</f>
        <v>365</v>
      </c>
      <c r="E6" s="160" t="n">
        <f aca="false">IFERROR(C6*Empirical!F5/1000*D6,NA())</f>
        <v>335.8</v>
      </c>
      <c r="F6" s="160" t="n">
        <f aca="false">IFERROR(Empirical!B20,NA())</f>
        <v>85.11966983</v>
      </c>
      <c r="G6" s="160" t="n">
        <f aca="false">IFERROR(MIN(E6,F6),NA())</f>
        <v>85.11966983</v>
      </c>
      <c r="H6" s="161" t="n">
        <f aca="false">IFERROR(MIN(1,G6/F6),NA())</f>
        <v>1</v>
      </c>
      <c r="I6" s="160" t="n">
        <f aca="false">IFERROR(MAX(F6-G6,0),NA())</f>
        <v>0</v>
      </c>
      <c r="J6" s="160" t="n">
        <f aca="false">IFERROR(Empirical!C20,NA())</f>
        <v>50.6966467123288</v>
      </c>
    </row>
    <row r="7" customFormat="false" ht="15" hidden="false" customHeight="true" outlineLevel="0" collapsed="false">
      <c r="A7" s="40" t="str">
        <f aca="false">Empirical!A6</f>
        <v>CO</v>
      </c>
      <c r="B7" s="40" t="str">
        <f aca="false">Empirical!B6</f>
        <v>Lithoautotroph (anaerobic, acetogen)</v>
      </c>
      <c r="C7" s="158" t="n">
        <v>200</v>
      </c>
      <c r="D7" s="159" t="n">
        <f aca="false">Inputs!$C$3</f>
        <v>365</v>
      </c>
      <c r="E7" s="160" t="n">
        <f aca="false">IFERROR(C7*Empirical!F6/1000*D7,NA())</f>
        <v>1072.1875</v>
      </c>
      <c r="F7" s="160" t="n">
        <f aca="false">IFERROR(Empirical!B21,NA())</f>
        <v>37.45322484</v>
      </c>
      <c r="G7" s="160" t="n">
        <f aca="false">IFERROR(MIN(E7,F7),NA())</f>
        <v>37.45322484</v>
      </c>
      <c r="H7" s="161" t="n">
        <f aca="false">IFERROR(MIN(1,G7/F7),NA())</f>
        <v>1</v>
      </c>
      <c r="I7" s="160" t="n">
        <f aca="false">IFERROR(MAX(F7-G7,0),NA())</f>
        <v>0</v>
      </c>
      <c r="J7" s="160" t="n">
        <f aca="false">IFERROR(Empirical!C21,NA())</f>
        <v>6.98631999347129</v>
      </c>
    </row>
    <row r="8" customFormat="false" ht="15" hidden="false" customHeight="true" outlineLevel="0" collapsed="false">
      <c r="A8" s="40" t="str">
        <f aca="false">Empirical!A7</f>
        <v>CH4</v>
      </c>
      <c r="B8" s="40" t="str">
        <f aca="false">Empirical!B7</f>
        <v>Methanotroph (aerobic)</v>
      </c>
      <c r="C8" s="158" t="n">
        <v>200</v>
      </c>
      <c r="D8" s="159" t="n">
        <f aca="false">Inputs!$C$3</f>
        <v>365</v>
      </c>
      <c r="E8" s="160" t="n">
        <f aca="false">IFERROR(C8*Empirical!F7/1000*D8,NA())</f>
        <v>28.3597122302158</v>
      </c>
      <c r="F8" s="160" t="n">
        <f aca="false">IFERROR(Empirical!B22,NA())</f>
        <v>388.965246948</v>
      </c>
      <c r="G8" s="160" t="n">
        <f aca="false">IFERROR(MIN(E8,F8),NA())</f>
        <v>28.3597122302158</v>
      </c>
      <c r="H8" s="161" t="n">
        <f aca="false">IFERROR(MIN(1,G8/F8),NA())</f>
        <v>0.0729106583499147</v>
      </c>
      <c r="I8" s="160" t="n">
        <f aca="false">IFERROR(MAX(F8-G8,0),NA())</f>
        <v>360.605534717784</v>
      </c>
      <c r="J8" s="160" t="n">
        <f aca="false">IFERROR(Empirical!C22,NA())</f>
        <v>2743.08317228676</v>
      </c>
    </row>
    <row r="9" customFormat="false" ht="15" hidden="false" customHeight="true" outlineLevel="0" collapsed="false">
      <c r="A9" s="40" t="str">
        <f aca="false">Empirical!A8</f>
        <v>VFAs</v>
      </c>
      <c r="B9" s="40" t="str">
        <f aca="false">Empirical!B8</f>
        <v>Heterotroph (aerobic)</v>
      </c>
      <c r="C9" s="158" t="n">
        <v>200</v>
      </c>
      <c r="D9" s="159" t="n">
        <f aca="false">Inputs!$C$3</f>
        <v>365</v>
      </c>
      <c r="E9" s="160" t="n">
        <f aca="false">IFERROR(C9*Empirical!F8/1000*D9,NA())</f>
        <v>85.180155210643</v>
      </c>
      <c r="F9" s="160" t="n">
        <f aca="false">IFERROR(Empirical!B23,NA())</f>
        <v>166.596912</v>
      </c>
      <c r="G9" s="160" t="n">
        <f aca="false">IFERROR(MIN(E9,F9),NA())</f>
        <v>85.180155210643</v>
      </c>
      <c r="H9" s="161" t="n">
        <f aca="false">IFERROR(MIN(1,G9/F9),NA())</f>
        <v>0.511294922505184</v>
      </c>
      <c r="I9" s="160" t="n">
        <f aca="false">IFERROR(MAX(F9-G9,0),NA())</f>
        <v>81.416756789357</v>
      </c>
      <c r="J9" s="160" t="n">
        <f aca="false">IFERROR(Empirical!C23,NA())</f>
        <v>391.163673247649</v>
      </c>
    </row>
    <row r="10" customFormat="false" ht="15" hidden="false" customHeight="true" outlineLevel="0" collapsed="false">
      <c r="A10" s="40" t="str">
        <f aca="false">Empirical!A9</f>
        <v>Wet_Organics</v>
      </c>
      <c r="B10" s="40" t="str">
        <f aca="false">Empirical!B9</f>
        <v>Heterotroph (aerobic)</v>
      </c>
      <c r="C10" s="158" t="n">
        <v>200</v>
      </c>
      <c r="D10" s="159" t="n">
        <f aca="false">Inputs!$C$3</f>
        <v>365</v>
      </c>
      <c r="E10" s="160" t="e">
        <f aca="false">IFERROR(C10*Empirical!F9/1000*D10,NA())</f>
        <v>#N/A</v>
      </c>
      <c r="F10" s="160" t="n">
        <f aca="false">IFERROR(Empirical!B24,NA())</f>
        <v>25.7094</v>
      </c>
      <c r="G10" s="160" t="e">
        <f aca="false">IFERROR(MIN(E10,F10),NA())</f>
        <v>#N/A</v>
      </c>
      <c r="H10" s="161" t="e">
        <f aca="false">IFERROR(MIN(1,G10/F10),NA())</f>
        <v>#N/A</v>
      </c>
      <c r="I10" s="160" t="e">
        <f aca="false">IFERROR(MAX(F10-G10,0),NA())</f>
        <v>#N/A</v>
      </c>
      <c r="J10" s="160" t="e">
        <f aca="false">IFERROR(Empirical!C24,NA())</f>
        <v>#N/A</v>
      </c>
    </row>
    <row r="11" customFormat="false" ht="15" hidden="false" customHeight="true" outlineLevel="0" collapsed="false">
      <c r="A11" s="40" t="str">
        <f aca="false">Empirical!A11</f>
        <v>Wet_Organics</v>
      </c>
      <c r="B11" s="40" t="str">
        <f aca="false">Empirical!B11</f>
        <v>Heterotroph (anaerobic)</v>
      </c>
      <c r="C11" s="158" t="n">
        <v>200</v>
      </c>
      <c r="D11" s="159" t="n">
        <f aca="false">Inputs!$C$3</f>
        <v>365</v>
      </c>
      <c r="E11" s="160" t="n">
        <f aca="false">IFERROR(C11*Empirical!F11/1000*D11,NA())</f>
        <v>177.39</v>
      </c>
      <c r="F11" s="160" t="e">
        <f aca="false">IFERROR(Empirical!B26,NA())</f>
        <v>#N/A</v>
      </c>
      <c r="G11" s="160" t="e">
        <f aca="false">IFERROR(MIN(E11,F11),NA())</f>
        <v>#N/A</v>
      </c>
      <c r="H11" s="161" t="e">
        <f aca="false">IFERROR(MIN(1,G11/F11),NA())</f>
        <v>#N/A</v>
      </c>
      <c r="I11" s="160" t="e">
        <f aca="false">IFERROR(MAX(F11-G11,0),NA())</f>
        <v>#N/A</v>
      </c>
      <c r="J11" s="160" t="n">
        <f aca="false">IFERROR(Empirical!C26,NA())</f>
        <v>347.835616438356</v>
      </c>
    </row>
    <row r="12" customFormat="false" ht="15" hidden="false" customHeight="true" outlineLevel="0" collapsed="false">
      <c r="A12" s="40" t="str">
        <f aca="false">Empirical!A12</f>
        <v>Cellulose</v>
      </c>
      <c r="B12" s="40" t="str">
        <f aca="false">Empirical!B12</f>
        <v>Heterotroph (aerobic)</v>
      </c>
      <c r="C12" s="158" t="n">
        <v>200</v>
      </c>
      <c r="D12" s="159" t="n">
        <f aca="false">Inputs!$C$3</f>
        <v>365</v>
      </c>
      <c r="E12" s="160" t="n">
        <f aca="false">IFERROR(C12*Empirical!F12/1000*D12,NA())</f>
        <v>52.3695652173913</v>
      </c>
      <c r="F12" s="160" t="n">
        <f aca="false">IFERROR(Empirical!B27,NA())</f>
        <v>614.24306</v>
      </c>
      <c r="G12" s="160" t="n">
        <f aca="false">IFERROR(MIN(E12,F12),NA())</f>
        <v>52.3695652173913</v>
      </c>
      <c r="H12" s="161" t="n">
        <f aca="false">IFERROR(MIN(1,G12/F12),NA())</f>
        <v>0.0852587007126972</v>
      </c>
      <c r="I12" s="160" t="n">
        <f aca="false">IFERROR(MAX(F12-G12,0),NA())</f>
        <v>561.873494782609</v>
      </c>
      <c r="J12" s="160" t="n">
        <f aca="false">IFERROR(Empirical!C27,NA())</f>
        <v>2345.80164051474</v>
      </c>
    </row>
    <row r="13" customFormat="false" ht="15" hidden="false" customHeight="true" outlineLevel="0" collapsed="false">
      <c r="A13" s="40" t="str">
        <f aca="false">Empirical!A13</f>
        <v>Polyesters</v>
      </c>
      <c r="B13" s="40" t="str">
        <f aca="false">Empirical!B13</f>
        <v>Depolymerization + Heterotroph (aerobic)</v>
      </c>
      <c r="C13" s="158" t="n">
        <v>200</v>
      </c>
      <c r="D13" s="159" t="n">
        <f aca="false">Inputs!$C$3</f>
        <v>365</v>
      </c>
      <c r="E13" s="160" t="n">
        <f aca="false">IFERROR(C13*Empirical!F13/1000*D13,NA())</f>
        <v>13.015792154865</v>
      </c>
      <c r="F13" s="160" t="n">
        <f aca="false">IFERROR(Empirical!B28,NA())</f>
        <v>225.59205</v>
      </c>
      <c r="G13" s="160" t="n">
        <f aca="false">IFERROR(MIN(E13,F13),NA())</f>
        <v>13.015792154865</v>
      </c>
      <c r="H13" s="161" t="n">
        <f aca="false">IFERROR(MIN(1,G13/F13),NA())</f>
        <v>0.0576961473370405</v>
      </c>
      <c r="I13" s="160" t="n">
        <f aca="false">IFERROR(MAX(F13-G13,0),NA())</f>
        <v>212.576257845135</v>
      </c>
      <c r="J13" s="160" t="n">
        <f aca="false">IFERROR(Empirical!C28,NA())</f>
        <v>3466.43596203522</v>
      </c>
    </row>
    <row r="14" customFormat="false" ht="15" hidden="false" customHeight="true" outlineLevel="0" collapsed="false">
      <c r="A14" s="40" t="str">
        <f aca="false">Empirical!A14</f>
        <v>Polyamides</v>
      </c>
      <c r="B14" s="40" t="str">
        <f aca="false">Empirical!B14</f>
        <v>Depolymerization + Heterotroph (aerobic)</v>
      </c>
      <c r="C14" s="158" t="n">
        <v>200</v>
      </c>
      <c r="D14" s="159" t="n">
        <f aca="false">Inputs!$C$3</f>
        <v>365</v>
      </c>
      <c r="E14" s="160" t="n">
        <f aca="false">IFERROR(C14*Empirical!F14/1000*D14,NA())</f>
        <v>1.12307692307692</v>
      </c>
      <c r="F14" s="160" t="n">
        <f aca="false">IFERROR(Empirical!B29,NA())</f>
        <v>80.54025</v>
      </c>
      <c r="G14" s="160" t="n">
        <f aca="false">IFERROR(MIN(E14,F14),NA())</f>
        <v>1.12307692307692</v>
      </c>
      <c r="H14" s="161" t="n">
        <f aca="false">IFERROR(MIN(1,G14/F14),NA())</f>
        <v>0.0139442939781901</v>
      </c>
      <c r="I14" s="160" t="n">
        <f aca="false">IFERROR(MAX(F14-G14,0),NA())</f>
        <v>79.4171730769231</v>
      </c>
      <c r="J14" s="160" t="n">
        <f aca="false">IFERROR(Empirical!C29,NA())</f>
        <v>14342.7842465753</v>
      </c>
    </row>
    <row r="15" customFormat="false" ht="15" hidden="false" customHeight="true" outlineLevel="0" collapsed="false">
      <c r="B15" s="162" t="s">
        <v>341</v>
      </c>
      <c r="C15" s="163" t="n">
        <f aca="false">SUMIF(C5:C14,"&lt;1E308")</f>
        <v>2000</v>
      </c>
      <c r="D15" s="164"/>
      <c r="E15" s="165" t="n">
        <f aca="false">SUMIF(E5:E14,"&lt;1E308")</f>
        <v>1792.43580173619</v>
      </c>
      <c r="F15" s="165" t="n">
        <f aca="false">SUMIF(F5:F14,"&lt;1E308")</f>
        <v>1879.578823108</v>
      </c>
      <c r="G15" s="165" t="n">
        <f aca="false">SUMIF(G5:G14,"&lt;1E308")</f>
        <v>329.631196406192</v>
      </c>
      <c r="H15" s="166" t="n">
        <f aca="false">IFERROR(G15/F15,NA())</f>
        <v>0.175375032083585</v>
      </c>
      <c r="I15" s="165" t="n">
        <f aca="false">SUMIF(I5:I14,"&lt;1E308")</f>
        <v>1524.23822670181</v>
      </c>
      <c r="J15" s="165" t="n">
        <f aca="false">SUMIF(J5:J14,"&lt;1E308")</f>
        <v>25585.6351822096</v>
      </c>
    </row>
    <row r="16" customFormat="false" ht="15" hidden="false" customHeight="true" outlineLevel="0" collapsed="false"/>
    <row r="17" customFormat="false" ht="51.75" hidden="false" customHeight="true" outlineLevel="0" collapsed="false">
      <c r="A17" s="155" t="s">
        <v>353</v>
      </c>
      <c r="B17" s="155"/>
      <c r="C17" s="155"/>
      <c r="D17" s="155"/>
      <c r="E17" s="155"/>
      <c r="F17" s="155"/>
      <c r="G17" s="155"/>
      <c r="H17" s="155"/>
      <c r="I17" s="155"/>
      <c r="J17" s="155"/>
    </row>
    <row r="18" customFormat="false" ht="45.75" hidden="false" customHeight="true" outlineLevel="0" collapsed="false">
      <c r="A18" s="167"/>
      <c r="B18" s="167"/>
      <c r="C18" s="167"/>
      <c r="D18" s="167"/>
      <c r="E18" s="167"/>
      <c r="F18" s="167"/>
      <c r="G18" s="167"/>
      <c r="H18" s="167"/>
      <c r="I18" s="167"/>
      <c r="J18" s="167"/>
    </row>
  </sheetData>
  <mergeCells count="3">
    <mergeCell ref="A2:J2"/>
    <mergeCell ref="A17:J17"/>
    <mergeCell ref="A18:J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2026-02-05T21:03:25Z</dcterms:created>
  <dc:creator>openpyxl</dc:creator>
  <dc:description/>
  <dc:language>en-US</dc:language>
  <cp:lastModifiedBy/>
  <dcterms:modified xsi:type="dcterms:W3CDTF">2026-09-09T09:14:05Z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