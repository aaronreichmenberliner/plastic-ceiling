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7a59182da5b115c7/Documents/ISS Carbon Accounting/"/>
    </mc:Choice>
  </mc:AlternateContent>
  <xr:revisionPtr revIDLastSave="128" documentId="13_ncr:1_{24913BC2-9D5A-4040-9AE1-E2CAAB5C0A22}" xr6:coauthVersionLast="47" xr6:coauthVersionMax="47" xr10:uidLastSave="{000F71D3-1759-42E2-8664-5C0B42A83808}"/>
  <bookViews>
    <workbookView xWindow="-110" yWindow="-110" windowWidth="38620" windowHeight="21100" tabRatio="500" activeTab="8" xr2:uid="{00000000-000D-0000-FFFF-FFFF00000000}"/>
  </bookViews>
  <sheets>
    <sheet name="Description" sheetId="1" r:id="rId1"/>
    <sheet name="Constants" sheetId="2" r:id="rId2"/>
    <sheet name="Inputs" sheetId="3" r:id="rId3"/>
    <sheet name="Parameters" sheetId="4" r:id="rId4"/>
    <sheet name="Routing" sheetId="5" r:id="rId5"/>
    <sheet name="Theoretical" sheetId="6" r:id="rId6"/>
    <sheet name="Empirical" sheetId="7" r:id="rId7"/>
    <sheet name="Scenarios" sheetId="8" r:id="rId8"/>
    <sheet name="Volume-Limited" sheetId="9" r:id="rId9"/>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9" i="9" l="1"/>
  <c r="B19" i="9"/>
  <c r="E24" i="9"/>
  <c r="E19" i="9"/>
  <c r="D19" i="9"/>
  <c r="I19" i="9"/>
  <c r="J19" i="9"/>
  <c r="L19" i="9"/>
  <c r="K19" i="9"/>
  <c r="I21" i="9"/>
  <c r="I20" i="9"/>
  <c r="L24" i="9"/>
  <c r="G12" i="8"/>
  <c r="I12" i="8" s="1"/>
  <c r="B12" i="8"/>
  <c r="D12" i="8" s="1"/>
  <c r="E26" i="7"/>
  <c r="G26" i="7" s="1"/>
  <c r="B26" i="7"/>
  <c r="D26" i="7" s="1"/>
  <c r="J14" i="7"/>
  <c r="F14" i="7"/>
  <c r="C14" i="7" s="1"/>
  <c r="J13" i="7"/>
  <c r="G13" i="7" s="1"/>
  <c r="F13" i="7"/>
  <c r="J12" i="7"/>
  <c r="F12" i="7"/>
  <c r="C12" i="7" s="1"/>
  <c r="J11" i="7"/>
  <c r="G11" i="7" s="1"/>
  <c r="F11" i="7"/>
  <c r="J9" i="7"/>
  <c r="F9" i="7"/>
  <c r="C9" i="7" s="1"/>
  <c r="J8" i="7"/>
  <c r="G8" i="7" s="1"/>
  <c r="F8" i="7"/>
  <c r="J7" i="7"/>
  <c r="F7" i="7"/>
  <c r="C7" i="7" s="1"/>
  <c r="J6" i="7"/>
  <c r="G6" i="7" s="1"/>
  <c r="F6" i="7"/>
  <c r="J5" i="7"/>
  <c r="F5" i="7"/>
  <c r="C5" i="7" s="1"/>
  <c r="J4" i="7"/>
  <c r="G4" i="7" s="1"/>
  <c r="F4" i="7"/>
  <c r="E26" i="6"/>
  <c r="B26" i="6"/>
  <c r="J14" i="6"/>
  <c r="G14" i="6" s="1"/>
  <c r="F14" i="6"/>
  <c r="C14" i="6" s="1"/>
  <c r="J13" i="6"/>
  <c r="G13" i="6" s="1"/>
  <c r="F13" i="6"/>
  <c r="C13" i="6" s="1"/>
  <c r="J12" i="6"/>
  <c r="G12" i="6" s="1"/>
  <c r="F12" i="6"/>
  <c r="C12" i="6" s="1"/>
  <c r="J11" i="6"/>
  <c r="G11" i="6" s="1"/>
  <c r="F11" i="6"/>
  <c r="C11" i="6" s="1"/>
  <c r="J10" i="6"/>
  <c r="G10" i="6" s="1"/>
  <c r="F10" i="6"/>
  <c r="C10" i="6" s="1"/>
  <c r="J9" i="6"/>
  <c r="G9" i="6" s="1"/>
  <c r="F9" i="6"/>
  <c r="C9" i="6" s="1"/>
  <c r="J8" i="6"/>
  <c r="G8" i="6" s="1"/>
  <c r="F8" i="6"/>
  <c r="C8" i="6" s="1"/>
  <c r="J4" i="6"/>
  <c r="G4" i="6" s="1"/>
  <c r="H4" i="6"/>
  <c r="F4" i="6"/>
  <c r="C4" i="6" s="1"/>
  <c r="D4" i="6"/>
  <c r="G28" i="5"/>
  <c r="F28" i="5"/>
  <c r="G27" i="5"/>
  <c r="F27" i="5"/>
  <c r="G26" i="5"/>
  <c r="F26" i="5"/>
  <c r="G25" i="5"/>
  <c r="B25" i="5"/>
  <c r="G24" i="5"/>
  <c r="F24" i="5"/>
  <c r="G23" i="5"/>
  <c r="F23" i="5"/>
  <c r="G22" i="5"/>
  <c r="F22" i="5"/>
  <c r="G21" i="5"/>
  <c r="G20" i="5"/>
  <c r="C20" i="5"/>
  <c r="K12" i="8" s="1"/>
  <c r="B20" i="5"/>
  <c r="B21" i="5" s="1"/>
  <c r="G19" i="5"/>
  <c r="F19" i="5"/>
  <c r="K13" i="5"/>
  <c r="J13" i="5"/>
  <c r="K12" i="5"/>
  <c r="J12" i="5"/>
  <c r="K11" i="5"/>
  <c r="J11" i="5"/>
  <c r="K9" i="5"/>
  <c r="J9" i="5"/>
  <c r="K8" i="5"/>
  <c r="J8" i="5"/>
  <c r="K7" i="5"/>
  <c r="J7" i="5"/>
  <c r="K6" i="5"/>
  <c r="J6" i="5"/>
  <c r="C5" i="5"/>
  <c r="B5" i="5"/>
  <c r="K4" i="5"/>
  <c r="J4" i="5"/>
  <c r="D35" i="4"/>
  <c r="I14" i="6" s="1"/>
  <c r="C35" i="4"/>
  <c r="D14" i="6" s="1"/>
  <c r="D34" i="4"/>
  <c r="I10" i="6" s="1"/>
  <c r="C34" i="4"/>
  <c r="E10" i="6" s="1"/>
  <c r="D33" i="4"/>
  <c r="I7" i="6" s="1"/>
  <c r="C33" i="4"/>
  <c r="E7" i="6" s="1"/>
  <c r="D32" i="4"/>
  <c r="I6" i="6" s="1"/>
  <c r="C32" i="4"/>
  <c r="E6" i="6" s="1"/>
  <c r="D31" i="4"/>
  <c r="I5" i="6" s="1"/>
  <c r="C31" i="4"/>
  <c r="E5" i="6" s="1"/>
  <c r="D30" i="4"/>
  <c r="I4" i="6" s="1"/>
  <c r="C30" i="4"/>
  <c r="E4" i="6" s="1"/>
  <c r="B12" i="3"/>
  <c r="C11" i="3"/>
  <c r="C25" i="5" s="1"/>
  <c r="C10" i="3"/>
  <c r="I28" i="5" s="1"/>
  <c r="C9" i="3"/>
  <c r="I27" i="5" s="1"/>
  <c r="C8" i="3"/>
  <c r="I26" i="5" s="1"/>
  <c r="C7" i="3"/>
  <c r="C6" i="3"/>
  <c r="C3" i="3"/>
  <c r="C13" i="7" s="1"/>
  <c r="C2" i="3"/>
  <c r="B15" i="2"/>
  <c r="H5" i="6" s="1"/>
  <c r="B14" i="2"/>
  <c r="H6" i="6" s="1"/>
  <c r="B13" i="2"/>
  <c r="H7" i="6" s="1"/>
  <c r="B12" i="2"/>
  <c r="F5" i="6" s="1"/>
  <c r="C5" i="6" s="1"/>
  <c r="B11" i="2"/>
  <c r="H10" i="6" s="1"/>
  <c r="A28" i="9"/>
  <c r="A27" i="9"/>
  <c r="A26" i="9"/>
  <c r="A25" i="9"/>
  <c r="A24" i="9"/>
  <c r="A23" i="9"/>
  <c r="A22" i="9"/>
  <c r="A21" i="9"/>
  <c r="A20" i="9"/>
  <c r="A19" i="9"/>
  <c r="C14" i="9"/>
  <c r="D13" i="9"/>
  <c r="A13" i="9"/>
  <c r="D12" i="9"/>
  <c r="H12" i="9" s="1"/>
  <c r="A12" i="9"/>
  <c r="G11" i="9"/>
  <c r="D11" i="9"/>
  <c r="A11" i="9"/>
  <c r="D10" i="9"/>
  <c r="A10" i="9"/>
  <c r="D9" i="9"/>
  <c r="F9" i="9" s="1"/>
  <c r="A9" i="9"/>
  <c r="D8" i="9"/>
  <c r="A8" i="9"/>
  <c r="D7" i="9"/>
  <c r="A7" i="9"/>
  <c r="D6" i="9"/>
  <c r="A6" i="9"/>
  <c r="D5" i="9"/>
  <c r="H5" i="9" s="1"/>
  <c r="A5" i="9"/>
  <c r="D4" i="9"/>
  <c r="H4" i="9" s="1"/>
  <c r="A4" i="9"/>
  <c r="M19" i="9" l="1"/>
  <c r="N19" i="9"/>
  <c r="O19" i="9"/>
  <c r="C35" i="5"/>
  <c r="B25" i="9"/>
  <c r="I25" i="9"/>
  <c r="J25" i="9" s="1"/>
  <c r="L25" i="9" s="1"/>
  <c r="B35" i="5"/>
  <c r="H11" i="9"/>
  <c r="F11" i="9"/>
  <c r="E11" i="9"/>
  <c r="H10" i="9"/>
  <c r="G10" i="9"/>
  <c r="H7" i="9"/>
  <c r="F7" i="9"/>
  <c r="H6" i="9"/>
  <c r="F6" i="9"/>
  <c r="C25" i="9"/>
  <c r="H24" i="5"/>
  <c r="H25" i="5"/>
  <c r="E27" i="6"/>
  <c r="G13" i="8"/>
  <c r="E27" i="7"/>
  <c r="G14" i="8"/>
  <c r="E28" i="6"/>
  <c r="E28" i="7"/>
  <c r="F8" i="9"/>
  <c r="E8" i="9"/>
  <c r="H13" i="9"/>
  <c r="G13" i="9"/>
  <c r="E5" i="9"/>
  <c r="G8" i="9"/>
  <c r="E10" i="9"/>
  <c r="E13" i="9"/>
  <c r="F5" i="9"/>
  <c r="H8" i="9"/>
  <c r="F10" i="9"/>
  <c r="F13" i="9"/>
  <c r="E29" i="7"/>
  <c r="E29" i="6"/>
  <c r="G15" i="8"/>
  <c r="C36" i="5"/>
  <c r="C26" i="5"/>
  <c r="C38" i="5" s="1"/>
  <c r="F4" i="9"/>
  <c r="E4" i="9"/>
  <c r="H9" i="9"/>
  <c r="G9" i="9"/>
  <c r="F12" i="9"/>
  <c r="E12" i="9"/>
  <c r="G4" i="9"/>
  <c r="E9" i="9"/>
  <c r="G12" i="9"/>
  <c r="B24" i="5"/>
  <c r="B22" i="5"/>
  <c r="H23" i="5" s="1"/>
  <c r="B23" i="5"/>
  <c r="I8" i="6"/>
  <c r="I9" i="6"/>
  <c r="E12" i="6"/>
  <c r="E13" i="6"/>
  <c r="E14" i="6"/>
  <c r="J5" i="6"/>
  <c r="J6" i="6"/>
  <c r="J7" i="6"/>
  <c r="C26" i="6"/>
  <c r="B26" i="5"/>
  <c r="B38" i="5" s="1"/>
  <c r="H28" i="5"/>
  <c r="B36" i="5"/>
  <c r="E12" i="8"/>
  <c r="D5" i="6"/>
  <c r="D6" i="6"/>
  <c r="D7" i="6"/>
  <c r="D8" i="6"/>
  <c r="D9" i="6"/>
  <c r="D10" i="6"/>
  <c r="H12" i="6"/>
  <c r="H13" i="6"/>
  <c r="H14" i="6"/>
  <c r="F26" i="6"/>
  <c r="C26" i="7"/>
  <c r="F12" i="8"/>
  <c r="H27" i="5"/>
  <c r="B37" i="5"/>
  <c r="E8" i="6"/>
  <c r="E9" i="6"/>
  <c r="I12" i="6"/>
  <c r="I13" i="6"/>
  <c r="G5" i="7"/>
  <c r="G7" i="7"/>
  <c r="G9" i="7"/>
  <c r="G12" i="7"/>
  <c r="G14" i="7"/>
  <c r="F6" i="6"/>
  <c r="F7" i="6"/>
  <c r="C12" i="3"/>
  <c r="H26" i="5"/>
  <c r="C4" i="7"/>
  <c r="C6" i="7"/>
  <c r="C8" i="7"/>
  <c r="C11" i="7"/>
  <c r="F26" i="7"/>
  <c r="J12" i="8"/>
  <c r="C21" i="5"/>
  <c r="H8" i="6"/>
  <c r="H9" i="6"/>
  <c r="D12" i="6"/>
  <c r="D13" i="6"/>
  <c r="F25" i="9" l="1"/>
  <c r="D25" i="9"/>
  <c r="G25" i="9" s="1"/>
  <c r="E25" i="9"/>
  <c r="H25" i="9" s="1"/>
  <c r="M25" i="9"/>
  <c r="K25" i="9"/>
  <c r="N25" i="9" s="1"/>
  <c r="O25" i="9"/>
  <c r="I24" i="5"/>
  <c r="I25" i="5"/>
  <c r="C22" i="5"/>
  <c r="I23" i="5" s="1"/>
  <c r="C23" i="5"/>
  <c r="C24" i="5"/>
  <c r="B28" i="5"/>
  <c r="H21" i="5" s="1"/>
  <c r="B29" i="5"/>
  <c r="B30" i="5" s="1"/>
  <c r="B27" i="5"/>
  <c r="S8" i="8"/>
  <c r="O8" i="8"/>
  <c r="O9" i="8"/>
  <c r="S9" i="8"/>
  <c r="F14" i="9"/>
  <c r="G28" i="7"/>
  <c r="F28" i="7"/>
  <c r="I27" i="9"/>
  <c r="G27" i="6"/>
  <c r="F27" i="6"/>
  <c r="B28" i="7"/>
  <c r="B14" i="8"/>
  <c r="B28" i="6"/>
  <c r="B15" i="8"/>
  <c r="B29" i="7"/>
  <c r="B29" i="6"/>
  <c r="C28" i="5"/>
  <c r="I21" i="5" s="1"/>
  <c r="C29" i="5"/>
  <c r="C27" i="5"/>
  <c r="G28" i="6"/>
  <c r="F28" i="6"/>
  <c r="B11" i="8"/>
  <c r="B25" i="6"/>
  <c r="B10" i="8"/>
  <c r="B24" i="7"/>
  <c r="B24" i="6"/>
  <c r="B27" i="6"/>
  <c r="B13" i="8"/>
  <c r="B27" i="7"/>
  <c r="G6" i="6"/>
  <c r="G6" i="9"/>
  <c r="B23" i="7"/>
  <c r="B23" i="6"/>
  <c r="B9" i="8"/>
  <c r="Q9" i="8"/>
  <c r="U9" i="8"/>
  <c r="G27" i="7"/>
  <c r="F27" i="7"/>
  <c r="I26" i="9"/>
  <c r="K14" i="8"/>
  <c r="J14" i="8"/>
  <c r="I14" i="8"/>
  <c r="H14" i="8"/>
  <c r="C7" i="6"/>
  <c r="E7" i="9"/>
  <c r="G7" i="6"/>
  <c r="G7" i="9"/>
  <c r="C6" i="6"/>
  <c r="E6" i="9"/>
  <c r="K15" i="8"/>
  <c r="J15" i="8"/>
  <c r="I15" i="8"/>
  <c r="H15" i="8"/>
  <c r="C37" i="5"/>
  <c r="G5" i="6"/>
  <c r="G5" i="9"/>
  <c r="G29" i="6"/>
  <c r="F29" i="6"/>
  <c r="E14" i="9"/>
  <c r="G29" i="7"/>
  <c r="F29" i="7"/>
  <c r="I28" i="9"/>
  <c r="I13" i="8"/>
  <c r="H13" i="8"/>
  <c r="K13" i="8"/>
  <c r="J13" i="8"/>
  <c r="H14" i="9"/>
  <c r="E25" i="6" l="1"/>
  <c r="G11" i="8"/>
  <c r="E24" i="7"/>
  <c r="G10" i="8"/>
  <c r="E24" i="6"/>
  <c r="D28" i="6"/>
  <c r="C28" i="6"/>
  <c r="O10" i="8"/>
  <c r="J26" i="9"/>
  <c r="L26" i="9" s="1"/>
  <c r="D27" i="7"/>
  <c r="B26" i="9"/>
  <c r="C27" i="7"/>
  <c r="E21" i="7"/>
  <c r="E21" i="6"/>
  <c r="G7" i="8"/>
  <c r="F14" i="8"/>
  <c r="E14" i="8"/>
  <c r="D14" i="8"/>
  <c r="C14" i="8"/>
  <c r="S10" i="8"/>
  <c r="G14" i="9"/>
  <c r="C28" i="7"/>
  <c r="B27" i="9"/>
  <c r="D28" i="7"/>
  <c r="B31" i="5"/>
  <c r="B33" i="5" s="1"/>
  <c r="F9" i="8"/>
  <c r="E9" i="8"/>
  <c r="D9" i="8"/>
  <c r="C9" i="8"/>
  <c r="D27" i="6"/>
  <c r="C27" i="6"/>
  <c r="D25" i="6"/>
  <c r="C25" i="6"/>
  <c r="B7" i="8"/>
  <c r="B21" i="7"/>
  <c r="B21" i="6"/>
  <c r="F13" i="8"/>
  <c r="E13" i="8"/>
  <c r="D13" i="8"/>
  <c r="C13" i="8"/>
  <c r="D29" i="6"/>
  <c r="C29" i="6"/>
  <c r="J27" i="9"/>
  <c r="L27" i="9" s="1"/>
  <c r="C30" i="5"/>
  <c r="J28" i="9"/>
  <c r="L28" i="9" s="1"/>
  <c r="C23" i="6"/>
  <c r="D23" i="6"/>
  <c r="D24" i="6"/>
  <c r="C24" i="6"/>
  <c r="C23" i="7"/>
  <c r="D23" i="7"/>
  <c r="B23" i="9"/>
  <c r="D24" i="7"/>
  <c r="C24" i="7"/>
  <c r="B24" i="9"/>
  <c r="E10" i="8"/>
  <c r="D10" i="8"/>
  <c r="C10" i="8"/>
  <c r="F10" i="8"/>
  <c r="D29" i="7"/>
  <c r="C29" i="7"/>
  <c r="B28" i="9"/>
  <c r="C11" i="8"/>
  <c r="F11" i="8"/>
  <c r="E11" i="8"/>
  <c r="D11" i="8"/>
  <c r="Q8" i="8"/>
  <c r="U8" i="8"/>
  <c r="E15" i="8"/>
  <c r="D15" i="8"/>
  <c r="C15" i="8"/>
  <c r="F15" i="8"/>
  <c r="G9" i="8"/>
  <c r="E23" i="7"/>
  <c r="E23" i="6"/>
  <c r="M26" i="9" l="1"/>
  <c r="K26" i="9"/>
  <c r="N26" i="9" s="1"/>
  <c r="M28" i="9"/>
  <c r="K28" i="9"/>
  <c r="N28" i="9" s="1"/>
  <c r="M27" i="9"/>
  <c r="K27" i="9"/>
  <c r="N27" i="9" s="1"/>
  <c r="G24" i="6"/>
  <c r="F24" i="6"/>
  <c r="K10" i="8"/>
  <c r="I10" i="8"/>
  <c r="J10" i="8"/>
  <c r="H10" i="8"/>
  <c r="F24" i="7"/>
  <c r="G24" i="7"/>
  <c r="I24" i="9"/>
  <c r="J24" i="9" s="1"/>
  <c r="I11" i="8"/>
  <c r="H11" i="8"/>
  <c r="K11" i="8"/>
  <c r="J11" i="8"/>
  <c r="F25" i="6"/>
  <c r="G25" i="6"/>
  <c r="G23" i="7"/>
  <c r="F23" i="7"/>
  <c r="I23" i="9"/>
  <c r="Q10" i="8"/>
  <c r="C28" i="9"/>
  <c r="D21" i="6"/>
  <c r="C21" i="6"/>
  <c r="G21" i="6"/>
  <c r="F21" i="6"/>
  <c r="O27" i="9"/>
  <c r="D21" i="7"/>
  <c r="C21" i="7"/>
  <c r="B21" i="9"/>
  <c r="G21" i="7"/>
  <c r="F21" i="7"/>
  <c r="C24" i="9"/>
  <c r="B32" i="5"/>
  <c r="B34" i="5" s="1"/>
  <c r="H22" i="5" s="1"/>
  <c r="C26" i="9"/>
  <c r="C33" i="5"/>
  <c r="C31" i="5"/>
  <c r="K7" i="8"/>
  <c r="J7" i="8"/>
  <c r="I7" i="8"/>
  <c r="H7" i="8"/>
  <c r="K9" i="8"/>
  <c r="J9" i="8"/>
  <c r="I9" i="8"/>
  <c r="H9" i="8"/>
  <c r="H19" i="5"/>
  <c r="H20" i="5"/>
  <c r="G23" i="6"/>
  <c r="F23" i="6"/>
  <c r="U10" i="8"/>
  <c r="C7" i="8"/>
  <c r="F7" i="8"/>
  <c r="E7" i="8"/>
  <c r="D7" i="8"/>
  <c r="C23" i="9"/>
  <c r="O28" i="9"/>
  <c r="C27" i="9"/>
  <c r="O26" i="9"/>
  <c r="D23" i="9" l="1"/>
  <c r="E23" i="9"/>
  <c r="F26" i="9"/>
  <c r="D26" i="9"/>
  <c r="E26" i="9"/>
  <c r="H26" i="9" s="1"/>
  <c r="F28" i="9"/>
  <c r="E28" i="9"/>
  <c r="H28" i="9" s="1"/>
  <c r="D28" i="9"/>
  <c r="G28" i="9" s="1"/>
  <c r="F27" i="9"/>
  <c r="D27" i="9"/>
  <c r="G27" i="9" s="1"/>
  <c r="E27" i="9"/>
  <c r="H27" i="9" s="1"/>
  <c r="F24" i="9"/>
  <c r="D24" i="9"/>
  <c r="G24" i="9" s="1"/>
  <c r="O24" i="9"/>
  <c r="K24" i="9"/>
  <c r="N24" i="9" s="1"/>
  <c r="M24" i="9"/>
  <c r="B19" i="7"/>
  <c r="B19" i="6"/>
  <c r="B5" i="8"/>
  <c r="B8" i="8"/>
  <c r="B22" i="7"/>
  <c r="B22" i="6"/>
  <c r="C32" i="5"/>
  <c r="C34" i="5" s="1"/>
  <c r="I22" i="5" s="1"/>
  <c r="C39" i="5"/>
  <c r="H24" i="9"/>
  <c r="I20" i="5"/>
  <c r="I19" i="5"/>
  <c r="J23" i="9"/>
  <c r="J21" i="9"/>
  <c r="L21" i="9" s="1"/>
  <c r="G23" i="9"/>
  <c r="H23" i="9"/>
  <c r="F23" i="9"/>
  <c r="G26" i="9"/>
  <c r="B6" i="8"/>
  <c r="B20" i="7"/>
  <c r="B20" i="6"/>
  <c r="B39" i="5"/>
  <c r="C21" i="9"/>
  <c r="F21" i="9" l="1"/>
  <c r="D21" i="9"/>
  <c r="G21" i="9" s="1"/>
  <c r="E21" i="9"/>
  <c r="H21" i="9" s="1"/>
  <c r="K21" i="9"/>
  <c r="N21" i="9" s="1"/>
  <c r="O21" i="9"/>
  <c r="K23" i="9"/>
  <c r="N23" i="9" s="1"/>
  <c r="L23" i="9"/>
  <c r="O23" i="9" s="1"/>
  <c r="E6" i="8"/>
  <c r="D6" i="8"/>
  <c r="C6" i="8"/>
  <c r="F6" i="8"/>
  <c r="G5" i="8"/>
  <c r="E19" i="7"/>
  <c r="E19" i="6"/>
  <c r="D22" i="6"/>
  <c r="C22" i="6"/>
  <c r="D20" i="6"/>
  <c r="C20" i="6"/>
  <c r="D20" i="7"/>
  <c r="C20" i="7"/>
  <c r="B20" i="9"/>
  <c r="M21" i="9"/>
  <c r="E20" i="7"/>
  <c r="E20" i="6"/>
  <c r="G6" i="8"/>
  <c r="D22" i="7"/>
  <c r="C22" i="7"/>
  <c r="B22" i="9"/>
  <c r="F8" i="8"/>
  <c r="E8" i="8"/>
  <c r="D8" i="8"/>
  <c r="C8" i="8"/>
  <c r="B16" i="8"/>
  <c r="F5" i="8"/>
  <c r="E5" i="8"/>
  <c r="E16" i="8" s="1"/>
  <c r="D5" i="8"/>
  <c r="C5" i="8"/>
  <c r="C16" i="8" s="1"/>
  <c r="O6" i="8" s="1"/>
  <c r="C19" i="6"/>
  <c r="D19" i="6"/>
  <c r="M23" i="9"/>
  <c r="G8" i="8"/>
  <c r="E22" i="7"/>
  <c r="E22" i="6"/>
  <c r="C19" i="7"/>
  <c r="D19" i="7"/>
  <c r="I8" i="8" l="1"/>
  <c r="H8" i="8"/>
  <c r="K8" i="8"/>
  <c r="J8" i="8"/>
  <c r="F16" i="8"/>
  <c r="K6" i="8"/>
  <c r="J6" i="8"/>
  <c r="I6" i="8"/>
  <c r="H6" i="8"/>
  <c r="G20" i="6"/>
  <c r="F20" i="6"/>
  <c r="G20" i="7"/>
  <c r="F20" i="7"/>
  <c r="O5" i="8"/>
  <c r="S5" i="8"/>
  <c r="G19" i="6"/>
  <c r="F19" i="6"/>
  <c r="G19" i="7"/>
  <c r="F19" i="7"/>
  <c r="B29" i="9"/>
  <c r="F19" i="9"/>
  <c r="C20" i="9"/>
  <c r="G22" i="6"/>
  <c r="F22" i="6"/>
  <c r="G22" i="7"/>
  <c r="F22" i="7"/>
  <c r="I22" i="9"/>
  <c r="D16" i="8"/>
  <c r="S6" i="8" s="1"/>
  <c r="C22" i="9"/>
  <c r="G16" i="8"/>
  <c r="K5" i="8"/>
  <c r="J5" i="8"/>
  <c r="J16" i="8" s="1"/>
  <c r="I5" i="8"/>
  <c r="H5" i="8"/>
  <c r="H16" i="8" s="1"/>
  <c r="Q6" i="8" s="1"/>
  <c r="F20" i="9" l="1"/>
  <c r="E20" i="9"/>
  <c r="H20" i="9" s="1"/>
  <c r="D20" i="9"/>
  <c r="G20" i="9" s="1"/>
  <c r="F22" i="9"/>
  <c r="E22" i="9"/>
  <c r="H22" i="9" s="1"/>
  <c r="D22" i="9"/>
  <c r="G22" i="9" s="1"/>
  <c r="K16" i="8"/>
  <c r="O7" i="8"/>
  <c r="Q5" i="8"/>
  <c r="U5" i="8"/>
  <c r="I29" i="9"/>
  <c r="J20" i="9"/>
  <c r="T9" i="8"/>
  <c r="T10" i="8"/>
  <c r="J22" i="9"/>
  <c r="S7" i="8"/>
  <c r="T7" i="8" s="1"/>
  <c r="T5" i="8"/>
  <c r="I16" i="8"/>
  <c r="U6" i="8" s="1"/>
  <c r="L20" i="9" l="1"/>
  <c r="O20" i="9" s="1"/>
  <c r="K20" i="9"/>
  <c r="N20" i="9" s="1"/>
  <c r="K22" i="9"/>
  <c r="N22" i="9" s="1"/>
  <c r="L22" i="9"/>
  <c r="O22" i="9" s="1"/>
  <c r="M20" i="9"/>
  <c r="T8" i="8"/>
  <c r="U7" i="8"/>
  <c r="V7" i="8" s="1"/>
  <c r="V5" i="8"/>
  <c r="S11" i="8"/>
  <c r="Q7" i="8"/>
  <c r="V6" i="8"/>
  <c r="V8" i="8"/>
  <c r="D29" i="9"/>
  <c r="G29" i="9" s="1"/>
  <c r="G19" i="9"/>
  <c r="T6" i="8"/>
  <c r="T11" i="8" s="1"/>
  <c r="P7" i="8"/>
  <c r="P10" i="8"/>
  <c r="P8" i="8"/>
  <c r="P6" i="8"/>
  <c r="O11" i="8"/>
  <c r="P9" i="8"/>
  <c r="E29" i="9"/>
  <c r="H29" i="9" s="1"/>
  <c r="H19" i="9"/>
  <c r="M22" i="9"/>
  <c r="P5" i="8"/>
  <c r="K29" i="9" l="1"/>
  <c r="N29" i="9" s="1"/>
  <c r="V10" i="8"/>
  <c r="V9" i="8"/>
  <c r="V11" i="8" s="1"/>
  <c r="U11" i="8"/>
  <c r="P11" i="8"/>
  <c r="R7" i="8"/>
  <c r="R10" i="8"/>
  <c r="R8" i="8"/>
  <c r="R6" i="8"/>
  <c r="Q11" i="8"/>
  <c r="R9" i="8"/>
  <c r="L29" i="9"/>
  <c r="O29" i="9" s="1"/>
  <c r="R5" i="8"/>
  <c r="R11"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26" authorId="0" shapeId="0" xr:uid="{00000000-0006-0000-05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Not an output stream (interconversion).</t>
        </r>
      </text>
    </comment>
    <comment ref="E26" authorId="0" shapeId="0" xr:uid="{00000000-0006-0000-05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Not an output stream (interconversion).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1" authorId="0" shapeId="0" xr:uid="{00000000-0006-0000-06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P_{Σprod,C,AD} [g_C/(L·d)] ≙ AD total routed product-carbon productivity</t>
        </r>
      </text>
    </comment>
    <comment ref="E11" authorId="0" shapeId="0" xr:uid="{00000000-0006-0000-06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Y_{Σprod/C,AD​} [g_C/g_C] ≙ AD total routed product-carbon yield</t>
        </r>
      </text>
    </comment>
    <comment ref="H11" authorId="0" shapeId="0" xr:uid="{00000000-0006-0000-0600-000005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P_{Σprod,C,AD} [g_C/(L·d)] ≙ AD total routed product-carbon productivity</t>
        </r>
      </text>
    </comment>
    <comment ref="I11" authorId="0" shapeId="0" xr:uid="{00000000-0006-0000-0600-000006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Y_{Σprod/C,AD​} [gC/gC] ≙ AD total routed product-carbon yield</t>
        </r>
      </text>
    </comment>
    <comment ref="B26" authorId="0" shapeId="0" xr:uid="{00000000-0006-0000-06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Not an output stream (interconversion).</t>
        </r>
      </text>
    </comment>
    <comment ref="E26" authorId="0" shapeId="0" xr:uid="{00000000-0006-0000-06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Not an output stream (interconversion).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2" authorId="0" shapeId="0" xr:uid="{00000000-0006-0000-07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Not an output stream (interconversion).</t>
        </r>
      </text>
    </comment>
    <comment ref="G12" authorId="0" shapeId="0" xr:uid="{00000000-0006-0000-07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Not an output stream (interconversion).</t>
        </r>
      </text>
    </comment>
  </commentList>
</comments>
</file>

<file path=xl/sharedStrings.xml><?xml version="1.0" encoding="utf-8"?>
<sst xmlns="http://schemas.openxmlformats.org/spreadsheetml/2006/main" count="571" uniqueCount="373">
  <si>
    <t>Purpose</t>
  </si>
  <si>
    <t>Interactive sizing model for biomass productivity (P_V) and biomass yield on carbon (Y_X/C) using universal aqueous-system constraints (mass transfer, light delivery, hydrolysis/depolymerization). Outputs are formula-driven from scenario parameters.</t>
  </si>
  <si>
    <t>How to use</t>
  </si>
  <si>
    <t>1) Edit blue input cells in 'Inputs' and 'Parameters'. 2) Allocate carbon streams in 'Routing'.
3) Read outputs in 'Theoretical' and/or 'Empirical' (carbon processing capacities) as well as 'Scenarios' (required reactor volume, biomass output).</t>
  </si>
  <si>
    <t>Units</t>
  </si>
  <si>
    <t>Carbon accounting is in kg_C/(person·year). Mechanism rates are per reactor volume (per L).
Gas transfer uses Henry solubility constants (mol/(m^3·Pa)), tabulated at 298.15 K and van't Hoff-corrected to the operating temperature T_op, then converted internally to mol/(L·atm).</t>
  </si>
  <si>
    <t>Key assumptions</t>
  </si>
  <si>
    <t>Aqueous, near-ambient operation at 1 atm total and a user-set operating temperature T_op (default 303.15 K / 30°C; set T_op = 298.15 K to recover the 25°C reference). Two scenarios: Baseline and Aspirational.
Modify kLa, partial pressures, utilization factors, hydrolysis/depolymerization constants, assimilation fractions, operating temperature, maintenance coefficients, and solids loadings to explore outcomes.</t>
  </si>
  <si>
    <t>Rate &amp; yield corrections</t>
  </si>
  <si>
    <t>Three corrections apply to the theoretical (Mechanisms) layer only; the empirical (Pathways) layer already embeds them.
High-solids penalty — solid-substrate rates fall above a total-solids threshold TS_ref_highsolids with slope beta_highsolids.
Temperature — Henry's-law solubilities are van't Hoff-corrected from 298.15 K to T_op.
Maintenance — assimilation fractions carry a Pirt penalty set by mu_growth and m_C_maint, lowering observed yield at low growth rate.</t>
  </si>
  <si>
    <t>Volume-limited routing</t>
  </si>
  <si>
    <t>Inverts the sizing question: Scenarios asks what volume a chosen routing needs, this sheet asks what a given installed volume can process and how the carbon divides between routes competing for one stream.
Edit Installed Volume and, if needed, Pool Key. Routes sharing a Pool Key are allocated their common stream in proportion to installed capacity, each capped at its own capacity. Competition is defined by the Pool Key rather than the mechanism, because each mechanism is unique to its route and grouping on it would let every route claim its whole stream. Only the two CO2 routes share a pool; the aerobic and anaerobic wet-organics routes draw on separate pools, and every other route reduces to MIN(capacity, stream).</t>
  </si>
  <si>
    <t>BASE = Baseline Scenario (standard bioprocess assumptions)</t>
  </si>
  <si>
    <t>ASPI = Aspirational Scenario (intensified, high-performance, still aqueous and near-ambient)</t>
  </si>
  <si>
    <t>Constant</t>
  </si>
  <si>
    <t>Value</t>
  </si>
  <si>
    <t>Unit</t>
  </si>
  <si>
    <t>Notes / Source (URL)</t>
  </si>
  <si>
    <t>Hcp(298.15K)</t>
  </si>
  <si>
    <t>-d_solH/R [K]</t>
  </si>
  <si>
    <t>T_ref</t>
  </si>
  <si>
    <t>K</t>
  </si>
  <si>
    <t>IUPAC standard temperature (25°C)</t>
  </si>
  <si>
    <t>atm_to_Pa</t>
  </si>
  <si>
    <t>Pa/atm</t>
  </si>
  <si>
    <t>definition</t>
  </si>
  <si>
    <t>L_per_m3</t>
  </si>
  <si>
    <t>L/m^3</t>
  </si>
  <si>
    <t>Hours_per_Day</t>
  </si>
  <si>
    <t>h/d</t>
  </si>
  <si>
    <t>Days_per_Year</t>
  </si>
  <si>
    <t>d/a</t>
  </si>
  <si>
    <t>Molar_Mass</t>
  </si>
  <si>
    <t>g/mol</t>
  </si>
  <si>
    <t>IUPAC standard atomic weight for carbon</t>
  </si>
  <si>
    <t>Biomass_C_fraction</t>
  </si>
  <si>
    <t>g_C/g_biomass</t>
  </si>
  <si>
    <t>typical microbial biomass is ~45–55% C [w/w]</t>
  </si>
  <si>
    <t>Cellulose_C_fraction</t>
  </si>
  <si>
    <t>g_C/g_cellulose</t>
  </si>
  <si>
    <t>essentially the carbon content of glucose</t>
  </si>
  <si>
    <t>Plastic_C_fraction</t>
  </si>
  <si>
    <t>g_C/g_polymer</t>
  </si>
  <si>
    <t>PET as single representative species</t>
  </si>
  <si>
    <t>Hscp_O2</t>
  </si>
  <si>
    <t>mol/(m^3·Pa)</t>
  </si>
  <si>
    <t>https://henrys-law.org/henry/casrn/7782-44-7 | van't Hoff to T_op; 1500 K (Sander 2023)</t>
  </si>
  <si>
    <t>Hscp_H2</t>
  </si>
  <si>
    <t>https://henrys-law.org/henry/casrn/1333-74-0 | van't Hoff to T_op; 530 K (Sander 2023)</t>
  </si>
  <si>
    <t>Hscp_CH4</t>
  </si>
  <si>
    <t>https://henrys-law.org/henry/casrn/74-82-8 | van't Hoff to T_op; 1600 K (Sander 2023)</t>
  </si>
  <si>
    <t>Hscp_CO</t>
  </si>
  <si>
    <t>https://henrys-law.org/henry/casrn/630-08-0 | van't Hoff to T_op; 1300 K (Sander 2023)</t>
  </si>
  <si>
    <t>Hscp_CO2</t>
  </si>
  <si>
    <t>https://henrys-law.org/henry/casrn/124-38-9 | van't Hoff to T_op; 2400 K (Sander 2023)</t>
  </si>
  <si>
    <t>Mission Architecture / Carbon Accounting Inputs</t>
  </si>
  <si>
    <t>Crew Members</t>
  </si>
  <si>
    <t>Average fraction for rotating crews/year.</t>
  </si>
  <si>
    <t>Down-Time</t>
  </si>
  <si>
    <t>System-wide average operating days/year.</t>
  </si>
  <si>
    <t>Carbon Stream</t>
  </si>
  <si>
    <t>kg_C/(person·a)</t>
  </si>
  <si>
    <t>kg_C/a</t>
  </si>
  <si>
    <t>Notes</t>
  </si>
  <si>
    <t>CO2</t>
  </si>
  <si>
    <t>Exhaled carbon dioxide.</t>
  </si>
  <si>
    <t>Wet_Organics</t>
  </si>
  <si>
    <t>Wet organic waste (food residues + feces).</t>
  </si>
  <si>
    <t>Cellulose</t>
  </si>
  <si>
    <t>Cellulosic materials (e.g., clothing).</t>
  </si>
  <si>
    <t>Polyesters</t>
  </si>
  <si>
    <t>Polyester plastics (e.g., PET).</t>
  </si>
  <si>
    <t>Polyamides</t>
  </si>
  <si>
    <t>Polyamide plastics (e.g., Nylon).</t>
  </si>
  <si>
    <t>Recalc_Plastics</t>
  </si>
  <si>
    <t>Recalcitrant plastics (e.g. polyolefins).</t>
  </si>
  <si>
    <t>Scenario Parameters (edit blue cells)</t>
  </si>
  <si>
    <t>Parameter</t>
  </si>
  <si>
    <t>Baseline</t>
  </si>
  <si>
    <t>Aspirational</t>
  </si>
  <si>
    <t>BASE f_assim_max</t>
  </si>
  <si>
    <t>ASPI f_assim_max</t>
  </si>
  <si>
    <t>kLa_gas</t>
  </si>
  <si>
    <t>1/h</t>
  </si>
  <si>
    <t>Overall gas-liquid mass transfer coefficient (used for all gases for simplicity).</t>
  </si>
  <si>
    <t>u_gas</t>
  </si>
  <si>
    <t>-</t>
  </si>
  <si>
    <t>Utilization factor for gas transfer capacity.</t>
  </si>
  <si>
    <t>u_otr</t>
  </si>
  <si>
    <t>Utilization factor for oxygen transfer capacity (aerobic growth).</t>
  </si>
  <si>
    <t>p_O2_air</t>
  </si>
  <si>
    <t>atm</t>
  </si>
  <si>
    <t>O2 partial pressure when using air.</t>
  </si>
  <si>
    <t>p_H2_litho</t>
  </si>
  <si>
    <t>H2 partial pressure for aerobic lithoautotrophy.</t>
  </si>
  <si>
    <t>p_O2_litho</t>
  </si>
  <si>
    <t>O2 partial pressure for aerobic lithoautotrophy.</t>
  </si>
  <si>
    <t>p_CO2_litho</t>
  </si>
  <si>
    <t>CO2 partial pressure for aerobic lithoautotrophy.</t>
  </si>
  <si>
    <t>n_H2/C_fix_aero</t>
  </si>
  <si>
    <t>mol_H2 / mol_C</t>
  </si>
  <si>
    <t>Effective H2 per mol C fixed (electron-balance factor; tunable).</t>
  </si>
  <si>
    <t>p_CO_aceto</t>
  </si>
  <si>
    <t>CO partial pressure for anaerobic autotrophy (acetogen).</t>
  </si>
  <si>
    <t>p_CH4</t>
  </si>
  <si>
    <t>CH4 partial pressure for aerobic methanotrophy.</t>
  </si>
  <si>
    <t>α_O2/CH4</t>
  </si>
  <si>
    <t>mol_O2 / mol_CH4</t>
  </si>
  <si>
    <t>Effective O2 requirement per CH4 consumed.</t>
  </si>
  <si>
    <t>α_O2/C</t>
  </si>
  <si>
    <t>mol_O2 / mol_C</t>
  </si>
  <si>
    <t>Effective O2 requirement per mol carbon consumed in aerobic heterotrophy.</t>
  </si>
  <si>
    <t>Areal_prod_photo</t>
  </si>
  <si>
    <t>g_biomass/(m^2·d)</t>
  </si>
  <si>
    <t>Representative areal productivity.</t>
  </si>
  <si>
    <t>A_over_V_photo</t>
  </si>
  <si>
    <t>m^2/m^3</t>
  </si>
  <si>
    <t>Illuminated area per reactor volume.</t>
  </si>
  <si>
    <t>C_AD,slurry​</t>
  </si>
  <si>
    <t>g_C/L</t>
  </si>
  <si>
    <t>Effective digestible carbon loading in the anaerobic digester slurry.</t>
  </si>
  <si>
    <t>τ_AD</t>
  </si>
  <si>
    <t>d</t>
  </si>
  <si>
    <t>Effective residence time of carbon loading in the anaerobic digester.</t>
  </si>
  <si>
    <t>η_AD,C​</t>
  </si>
  <si>
    <t>Fraction of AD input carbon that leaves the digester as routed products.</t>
  </si>
  <si>
    <t>C_loading_cellulose</t>
  </si>
  <si>
    <t>Insoluble cellulose-equivalent carbon concentration in reactor.</t>
  </si>
  <si>
    <t>k_hyd_cellulose</t>
  </si>
  <si>
    <t>1/d</t>
  </si>
  <si>
    <t>Effective hydrolysis/solubilization constant (carbon basis).</t>
  </si>
  <si>
    <t>C_loading_plastics</t>
  </si>
  <si>
    <t>Insoluble polymer-equivalent carbon concentration in reactor.</t>
  </si>
  <si>
    <t>k_dep_polyesters</t>
  </si>
  <si>
    <t>Effective depolymerization constant (carbon basis).</t>
  </si>
  <si>
    <t>k_dep_polyamides</t>
  </si>
  <si>
    <t>k_dep_recalcplastics</t>
  </si>
  <si>
    <t>u_solids</t>
  </si>
  <si>
    <t>Utilization factor for solubilized carbon (defaults to 1).</t>
  </si>
  <si>
    <t>TS_ref_highsolids</t>
  </si>
  <si>
    <t>High-solids onset threshold (total-solids mass fraction). Below this, no rate penalty.</t>
  </si>
  <si>
    <t>β_highsolids</t>
  </si>
  <si>
    <t>High-solids penalty slope: fractional rate loss per unit total-solids above threshold.</t>
  </si>
  <si>
    <t>f_assim_photo</t>
  </si>
  <si>
    <t>mol_C/mol_C</t>
  </si>
  <si>
    <t>Fraction of consumed carbon ending in biomass (aerobic phototrophy); Pirt-observed.</t>
  </si>
  <si>
    <t>f_assim_litho</t>
  </si>
  <si>
    <t>Fraction of fixed carbon ending in biomass (aerobic lithoautotrophy); Pirt-observed.</t>
  </si>
  <si>
    <t>f_assim_aceto</t>
  </si>
  <si>
    <t>Fraction of fixed carbon ending in biomass (anaerobic lithoautotrophy); Pirt-observed.</t>
  </si>
  <si>
    <t>f_assim_meth</t>
  </si>
  <si>
    <t>Fraction of CH4-carbon ending in biomass (aerobic methanotrophy); Pirt-observed.</t>
  </si>
  <si>
    <t>f_assim_hetero</t>
  </si>
  <si>
    <t>Fraction of organics-carbon ending in biomass (aerobic heterotrophy); Pirt-observed.</t>
  </si>
  <si>
    <t>f_assim_hydro</t>
  </si>
  <si>
    <t>Fraction of solubilized polymer/cellulose carbon ending in biomass; Pirt-observed.</t>
  </si>
  <si>
    <t>f_assim_thermo</t>
  </si>
  <si>
    <t>Fraction of non-pyrolyzed polymer (char) carbon ending in biomass.</t>
  </si>
  <si>
    <t>mix_photo</t>
  </si>
  <si>
    <t>Mixotrophy: multiplicative P_V uplift factor (lumps light/CO2 effects).
Associated CO2 assimilation is neglected as negligible relative to the total CO2 pool.</t>
  </si>
  <si>
    <t>T_op</t>
  </si>
  <si>
    <t>System operating temperature. van't Hoff-corrects all Henry's-law solubilities.</t>
  </si>
  <si>
    <t>mu_growth</t>
  </si>
  <si>
    <t>Specific growth rate for the Pirt maintenance correction; strongly sets the maintenance penalty magnitude.</t>
  </si>
  <si>
    <t>m_C_maint</t>
  </si>
  <si>
    <t>g_C/(g_X*h)</t>
  </si>
  <si>
    <t>Maintenance carbon coefficient (Pirt). Representative aerobic value; tune per chassis/literature.</t>
  </si>
  <si>
    <t>Carbon Stream Inter-Conversion and Coupling (edit blue cells; fractions in percent)</t>
  </si>
  <si>
    <t>Carbon Stream Routing and Allocations (edit blue cells; fractions in percent)</t>
  </si>
  <si>
    <t>Stream</t>
  </si>
  <si>
    <t>Mechanism; Limitation</t>
  </si>
  <si>
    <t>Check-Sum
! ≤ 1</t>
  </si>
  <si>
    <t>f_WetOrg_to_AD</t>
  </si>
  <si>
    <t>Fraction of Wet_Organics routed to anaerobic digestion</t>
  </si>
  <si>
    <t>CO2_available</t>
  </si>
  <si>
    <t>Photoautotroph (aerobic); light (energy)</t>
  </si>
  <si>
    <t>eta_AD_C</t>
  </si>
  <si>
    <t>Carbon conversion efficiency of AD (rest to sludge)</t>
  </si>
  <si>
    <t>Lithoautotroph (aerobic); gas transfer (energy)</t>
  </si>
  <si>
    <t>f_AD_to_VFA</t>
  </si>
  <si>
    <t>AD carbon partition to VFAs (of AD-processed carbon)</t>
  </si>
  <si>
    <t>CO_available</t>
  </si>
  <si>
    <t>Lithoautotroph (anaerobic); gas transfer (energy)</t>
  </si>
  <si>
    <t>f_AD_to_CH4</t>
  </si>
  <si>
    <t>AD carbon partition to CH4 (of AD-processed carbon)</t>
  </si>
  <si>
    <t>CH4_available</t>
  </si>
  <si>
    <t>Methanotroph (aerobic); gas transfer (carbon)</t>
  </si>
  <si>
    <t>f_AD_to_CO2</t>
  </si>
  <si>
    <t>AD carbon partition to CO2 (of AD-processed carbon)</t>
  </si>
  <si>
    <t>VFAs</t>
  </si>
  <si>
    <t>Heterotroph; OTR-limited</t>
  </si>
  <si>
    <t>f_RecPlastic_to_Pyrolysis</t>
  </si>
  <si>
    <t>Fraction of Recalc_Plastics routed to Pyrolysis</t>
  </si>
  <si>
    <t>Heterotroph (aerobic); OTR-limited</t>
  </si>
  <si>
    <t>eta_Pyrolysis_C</t>
  </si>
  <si>
    <t>Carbon conversion efficiency of pyrolysis (rest to char)</t>
  </si>
  <si>
    <t>Mixotroph (aerobic); OTR-limited</t>
  </si>
  <si>
    <t>f_Pyrolysis_to_CH4</t>
  </si>
  <si>
    <t>Pyro carbon partition to CH4 (via Plas-Pyro or MAP, respectively)</t>
  </si>
  <si>
    <t>Enzymatic; hydrolysis-limited</t>
  </si>
  <si>
    <t>f_Pyrolysis_to_CO</t>
  </si>
  <si>
    <t>Pyro carbon partition to CO (via Plas-Pyro or MAP, respectively)</t>
  </si>
  <si>
    <t>Enzymatic; depolymerization-limited</t>
  </si>
  <si>
    <t>f_Pyrolysis_to_CO2</t>
  </si>
  <si>
    <t>Pyro carbon partition to CO2 (via Plas-Pyro or MAP, respectively)</t>
  </si>
  <si>
    <t>f_CO2_to_Sabatier</t>
  </si>
  <si>
    <t>Fraction of available CO2 pool (Input+AD+Pyro) routed to Sabatier</t>
  </si>
  <si>
    <t>eta_Sabatier_C</t>
  </si>
  <si>
    <t>Carbon conversion efficiency of Sabatier (rest remains in CO2 pool)</t>
  </si>
  <si>
    <t>Derived Streams (one-pass, no feedback)</t>
  </si>
  <si>
    <t>Derived Streams (one-pass, no circular recursion)</t>
  </si>
  <si>
    <t>kg_C/a (BASE)</t>
  </si>
  <si>
    <t>kg_C/a (ASPI)</t>
  </si>
  <si>
    <t>Definition (one-pass)</t>
  </si>
  <si>
    <t>WetOrg_to_AD</t>
  </si>
  <si>
    <t>Wet_Organics routed to anaerobic digestion</t>
  </si>
  <si>
    <t>AD_effective</t>
  </si>
  <si>
    <t>Carbon processed in anaerobic digestion</t>
  </si>
  <si>
    <t>VFAs_from_AD</t>
  </si>
  <si>
    <t>VFAs produced by anaerobic digestion</t>
  </si>
  <si>
    <t>CH4_from_AD</t>
  </si>
  <si>
    <t>CH4 produced by anaerobic digestion</t>
  </si>
  <si>
    <t>CO2_from_AD</t>
  </si>
  <si>
    <t>CO2 produced by anaerobic digestion</t>
  </si>
  <si>
    <t>RecPlastics_to_Pyrolysis</t>
  </si>
  <si>
    <t>Recalc_Plastics routed to Pyrolysis</t>
  </si>
  <si>
    <t>Pyrolysis_effective</t>
  </si>
  <si>
    <t>Carbon processed in Pyrolysis</t>
  </si>
  <si>
    <t>CH4_from_Pyro</t>
  </si>
  <si>
    <t>CH4 produced by Pyrolysis</t>
  </si>
  <si>
    <t>CO_from_Pyro</t>
  </si>
  <si>
    <t>CO produced by Pyrolysis</t>
  </si>
  <si>
    <t>CO2_from_Pyro</t>
  </si>
  <si>
    <t>CO2 produced by Pyrolysis</t>
  </si>
  <si>
    <t>CO2_pool_preSabatier</t>
  </si>
  <si>
    <t>CO2 exhaled + CO2 from AD + CO2 from Pyro</t>
  </si>
  <si>
    <t>CO2_to_Sabatier</t>
  </si>
  <si>
    <t>CO2 routed to Sabatier</t>
  </si>
  <si>
    <t>CH4_from_Sabatier</t>
  </si>
  <si>
    <t>CH4 produced by Sabatier</t>
  </si>
  <si>
    <t>CO2_available_effective</t>
  </si>
  <si>
    <t>Remaining CO2 pool after Sabatier</t>
  </si>
  <si>
    <t>CH4_available_effective</t>
  </si>
  <si>
    <t>Accumulated CH4 from AD + Pyrolysis + Sabatier</t>
  </si>
  <si>
    <t>WetOrg_remaining</t>
  </si>
  <si>
    <t>Remaining carbon of unprocessed Wet_Organics</t>
  </si>
  <si>
    <t>RecPlastics_remaining</t>
  </si>
  <si>
    <t>Remaining carbon of unprocessed Recalc_Plastics</t>
  </si>
  <si>
    <t>Sludge_C</t>
  </si>
  <si>
    <t>Residual carbon from AD (sludge)</t>
  </si>
  <si>
    <t>Char_C</t>
  </si>
  <si>
    <t>Residual carbon from Pyrolysis (char)</t>
  </si>
  <si>
    <t>Gas_C</t>
  </si>
  <si>
    <t>Residual carbon from Sabatier (carbon dioxide)</t>
  </si>
  <si>
    <t>Mechanism-Dependent BioProcess Parameter Calculations</t>
  </si>
  <si>
    <t>Scenario</t>
  </si>
  <si>
    <t>Substrate</t>
  </si>
  <si>
    <t>Metabolic Mode</t>
  </si>
  <si>
    <t>C_cap [kg_C/(L·a)]</t>
  </si>
  <si>
    <t>P_V [g_biomass/(L·d)]</t>
  </si>
  <si>
    <t>Y_{X/C} [g_biomass/g_carbon]</t>
  </si>
  <si>
    <t>r_C [g/(L·d)]</t>
  </si>
  <si>
    <t>r_C [g_C/(L·d)]</t>
  </si>
  <si>
    <t>Notes / Limiter</t>
  </si>
  <si>
    <t>Photoautotroph (aerobic, light-driven)</t>
  </si>
  <si>
    <t>Light delivery (areal productivity × A/V).</t>
  </si>
  <si>
    <t>Lithoautotroph (aerobic, H2-oxidizer)</t>
  </si>
  <si>
    <t>Gas transfer (H2/O2/CO2) + electron balance; limited by min(CO2, H2, O2).</t>
  </si>
  <si>
    <t>CO</t>
  </si>
  <si>
    <t>Lithoautotroph (anaerobic, acetogen)</t>
  </si>
  <si>
    <t>Gas transfer (CO) + low carbon assimilation fraction (energy-limited).</t>
  </si>
  <si>
    <t>CH4</t>
  </si>
  <si>
    <t>Methanotroph (aerobic)</t>
  </si>
  <si>
    <t>Gas transfer (CH4 and O2) using effective O2/CH4 requirement.</t>
  </si>
  <si>
    <t>Heterotroph (aerobic; OTR-capped)</t>
  </si>
  <si>
    <t>Oxygen transfer rate (OTR)-limited (defined soluble carbon).</t>
  </si>
  <si>
    <t>OTR-limited using α_O2/C (complex soluble carbon).</t>
  </si>
  <si>
    <t>Mixotroph (aerobic; OTR-capped with uplift)</t>
  </si>
  <si>
    <t>OTR-limited + multiplicative P_V uplift (mixo-photo).</t>
  </si>
  <si>
    <t>Heterotroph (anaerobic; carbon basis)</t>
  </si>
  <si>
    <t>Intermediate bioconversion unit (biomass not counted).</t>
  </si>
  <si>
    <t>Heterotroph (hydrolysis-limited; carbon basis)</t>
  </si>
  <si>
    <t>Solubilization/hydrolysis-limited on soluble carbon loading.</t>
  </si>
  <si>
    <t>Depolymerization + Heterotroph (carbon basis)</t>
  </si>
  <si>
    <t>Depolymerization-limited on insoluble carbon loading.</t>
  </si>
  <si>
    <t>Allocated Carbon Streams vs Infrastructure Sizing (Scenario Comparison)</t>
  </si>
  <si>
    <t>Mechanism</t>
  </si>
  <si>
    <t>Carbon Stream [kg_C/a]</t>
  </si>
  <si>
    <t>Reactor Vol [L]</t>
  </si>
  <si>
    <t>Biomass [kg/a]</t>
  </si>
  <si>
    <t>CO2 | Photoautotroph (aerobic)</t>
  </si>
  <si>
    <t>CO2 | Lithoautotroph (aerobic)</t>
  </si>
  <si>
    <t>CO | Lithoautotroph (anaerobic)</t>
  </si>
  <si>
    <t>CH4 | Methanotroph (aerobic)</t>
  </si>
  <si>
    <t>VFAs | Heterotroph (aerobic)</t>
  </si>
  <si>
    <t>Wet_Organics | Heterotroph (aerobic)</t>
  </si>
  <si>
    <t>Wet_Organics | Mixotroph (aerobic)</t>
  </si>
  <si>
    <t>Wet_Organics | Heterotroph (anaerobic)</t>
  </si>
  <si>
    <t>Cellulose | Enzymatic</t>
  </si>
  <si>
    <t>Polyesters | Biochemical</t>
  </si>
  <si>
    <t>Polyamides | Biochemical</t>
  </si>
  <si>
    <t>C_cap = volumetric carbon processing capacity (kg_C·L⁻¹·a⁻¹)</t>
  </si>
  <si>
    <t>P_V = biomass volumetric productivity (g_biomass·L⁻¹·d⁻¹)</t>
  </si>
  <si>
    <t>Y_X/C = biomass yield on carbon (g_biomass·g_C⁻¹)</t>
  </si>
  <si>
    <t>r_C = volumetric carbon processing rate (g_C·L⁻¹·d⁻¹)</t>
  </si>
  <si>
    <t>Organism-Dependent BioProcess Parameters</t>
  </si>
  <si>
    <t>Chassis / Reference</t>
  </si>
  <si>
    <t>Heterotroph (aerobic)</t>
  </si>
  <si>
    <t>Heterotroph (anaerobic)</t>
  </si>
  <si>
    <t>Depolymerization + Heterotroph (aerobic)</t>
  </si>
  <si>
    <t>Reactor Volume [L]</t>
  </si>
  <si>
    <t>Global Carbon Stream Balancing [kg_C/a] / [%]</t>
  </si>
  <si>
    <t>Scenario / Model</t>
  </si>
  <si>
    <t>Theoretical</t>
  </si>
  <si>
    <t>Empirical</t>
  </si>
  <si>
    <t>Model</t>
  </si>
  <si>
    <t>Conservative</t>
  </si>
  <si>
    <t>Aggressive</t>
  </si>
  <si>
    <t>Fate</t>
  </si>
  <si>
    <t>Throughput</t>
  </si>
  <si>
    <t>Converted</t>
  </si>
  <si>
    <t>Total carbon throughput across all bioprocesses.</t>
  </si>
  <si>
    <t>Biomass</t>
  </si>
  <si>
    <t>Fixed</t>
  </si>
  <si>
    <t>Total carbon fixed into microbial biomass across all bioprocesses.</t>
  </si>
  <si>
    <t>CO₂e</t>
  </si>
  <si>
    <t>Recoverable</t>
  </si>
  <si>
    <t>Non-biomass carbon byproducts from bioconversions, expressed as CO₂ equivalent.</t>
  </si>
  <si>
    <t>Residual Solids</t>
  </si>
  <si>
    <t>Terminal</t>
  </si>
  <si>
    <t>AD sludge (proteinaceous and lipid-associated cell wall polymers) and pyrolysis char (graphitic carbon).</t>
  </si>
  <si>
    <t>VFAs | Heterotroph</t>
  </si>
  <si>
    <t>Remaining Plastics</t>
  </si>
  <si>
    <t>Unconverted</t>
  </si>
  <si>
    <t>Plastics excluded from pyrolysis routing due to process incompatibility or chemical hazard (e.g., polyaramides, PVC).</t>
  </si>
  <si>
    <t>Wet_Organics | Heterotroph</t>
  </si>
  <si>
    <t>Combined Terminal</t>
  </si>
  <si>
    <t>Lost</t>
  </si>
  <si>
    <t xml:space="preserve">Conversion residues (AD sludge + pyrolysis char) and pyrolysis-incompatible recalcitrant plastics. </t>
  </si>
  <si>
    <t>Check-Sum</t>
  </si>
  <si>
    <t>Total</t>
  </si>
  <si>
    <t>Total carbon throughput / required real estate (volume)</t>
  </si>
  <si>
    <t>Volume-Limited Routing and Processing Capacity</t>
  </si>
  <si>
    <t>Pool Key</t>
  </si>
  <si>
    <t>Installed Volume [L]</t>
  </si>
  <si>
    <t>Operating Days [d/a]</t>
  </si>
  <si>
    <t>Capacity, Theoretical [kg_C/a]</t>
  </si>
  <si>
    <t>Capacity, Empirical [kg_C/a]</t>
  </si>
  <si>
    <t>Shares the CO2 pool with the lithoautotroph; light-limited.</t>
  </si>
  <si>
    <t>Shares the CO2 pool with the photoautotroph; gas-transfer-limited.</t>
  </si>
  <si>
    <t>No empirical chassis; empirical columns return #N/A.</t>
  </si>
  <si>
    <t>Wet_Organics (AD)</t>
  </si>
  <si>
    <t>Interconversion step, carbon accounted downstream; own pool key.</t>
  </si>
  <si>
    <t>Depolymerization-limited.</t>
  </si>
  <si>
    <t>Depolymerization-limited; least carbon per litre installed.</t>
  </si>
  <si>
    <t>Volume-Determined Routing and Allocation</t>
  </si>
  <si>
    <t>Pool [kg_C/a]</t>
  </si>
  <si>
    <t>Allocated, Theoretical [kg_C/a]</t>
  </si>
  <si>
    <t>Allocated, Empirical [kg_C/a]</t>
  </si>
  <si>
    <t>Fraction of Pool, assumed</t>
  </si>
  <si>
    <t>Fraction, Theoretical</t>
  </si>
  <si>
    <t>Fraction, Empirical</t>
  </si>
  <si>
    <t>Baseline: Chlorella vulgaris rsemsu Chv-20/11-Ps, 0.37 g/(L.d) at 3% CO2, Chunzhuk et al. 2023 (10.3390/plants12132470); highest rate of the five strains tested, RSE LMSU collection. Aspirational: C. vulgaris UTEX 26, 2.11 g/(L.d), Fu et al. 2012 (10.1016/j.jbiotec.2012.07.004). Y_X/C from the theoretical assimilation fraction for photoautotrophy (f = 0.634).</t>
  </si>
  <si>
    <t>Baseline: Clostridium autoethanogenum / ljungdahlii, 0.47 g/(L.d); not from a single study, estimated from reported acetogenic gas-fermentation titers of ~0.5-1.0 g/L over 3-4 d, with most carbon directed to acetate and ethanol rather than biomass. Aspirational: C. autoethanogenum LAbrini, 1.59 g/(L.d), Ingelman et al. 2024 (10.1016/j.nbt.2024.06.002).</t>
  </si>
  <si>
    <t>Baseline: Methylococcus capsulatus, 0.543 g/(L.d), Harwood &amp; Pirt 1972 (10.1111/j.1365-2672.1972.tb03741.x); the only study measuring methane in and out, so uptake is known directly. Aspirational: M. capsulatus Bath, 5.57 g/(L.d), Jeong et al. 2023 (10.1016/j.cej.2022.139911); OD-to-CDW conversion from Jang et al. 2023 (10.1021/acs.jafc.3c00286). No yield reported; Y_X/C from the theoretical assimilation fraction for methanotrophy.</t>
  </si>
  <si>
    <t>Baseline: Yarrowia lipolytica on acetate, 4.21 g/L after 96 h, Kolouchova et al. 2015 (10.1093/femsyr/fov076). Aspirational: Y. lipolytica on acetic acid at pH 8.0, 37.14 g/L after 96 h, Gao et al. 2020 (10.1186/s13068-019-1645-y).</t>
  </si>
  <si>
    <t>Interconversion step; biomass is not counted. Anaerobic digestion parameters from Heo et al. 2004 (10.1081/ESE-120037874) and Lim et al. 2000, 2008.</t>
  </si>
  <si>
    <t>Baseline: Cellulomonas uda on alpha-cellulose, Poulsen et al. 2016 (10.1007/s00203-016-1230-8). Aspirational: Candida utilis on rice-straw hydrolysate, Koyama et al. 2014 (10.1016/j.biortech.2014.08.097).</t>
  </si>
  <si>
    <t>Baseline: engineered Pseudomonas putida on PET film (1.5 g/L), Freund et al. 2025 (10.1101/2025.09.28.673679). Aspirational: the same strain on terephthalic acid (10 mM), with depolymerization not limiting, Freund et al. 2025. Biomass per OD unit (0.37 g/L) from Czajka et al. 2022 (10.1016/j.mec.2022.e00206); the Baseline conversion from cell count to OD is recorded in the compiled methods against PMC9562214, unverified.</t>
  </si>
  <si>
    <t>Baseline: Alcaligenes faecalis on PA6 as sole carbon source, Oulidi et al. 2024 (10.1016/j.scenv.2024.100116), with the OD-to-biomass conversion from Czajka et al. 2022 (10.1016/j.mec.2022.e00206). Aspirational: engineered P. putida on nylon monomers, De Witt et al. 2025 (10.1038/s41564-025-01929-5).</t>
  </si>
  <si>
    <t>No empirical parameterization: no single organism has been reported that represents the mixed cultures this route assumes; hence, #N/A by design.</t>
  </si>
  <si>
    <t>Baseline: Cupriavidus necator R3, 4.6 g/(L.d), Yu and Lu 2019 (10.1016/j.bej.2019.107369); Y_X/C = 0.985 from the reported 17.1 g CO2/d fixation rate (17.1 x 12/44 = 4.67 g_C/d). Aspirational: 54.72 g/(L.d) = 2.28 g/(L.h), at the upper end of the 1.1-2.47 g/(L.h) band reported for autotrophic HOB gas fermentation, Panich et al. 2021 (10.1016/j.tibtech.2021.01.001); not a single-strain measurement. Y_X/C from the theoretical assimilation fraction for lithoautotrophy (f = 0.634).</t>
  </si>
  <si>
    <t>Placeholder row, not read by the model. The mixotrophic route is parameterized from the aerobic heterotroph above (Scenarios reads Empirical!E9) times a mixotrophic uplift of 15% (Baseline) or 35% (Aspirational) set on the Parameters sheet. The row is kept blank to preserve alignment with the Theoretical sheet, which carries its own mixotroph entry. Because row 9 has no yield, this route likewise returns no biomass empirically.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</si>
</sst>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E+00"/>
    <numFmt numFmtId="166" formatCode="0.0"/>
    <numFmt numFmtId="167" formatCode="0.0000"/>
    <numFmt numFmtId="168" formatCode="#,##0.0"/>
    <numFmt numFmtId="169" formatCode="0.0%"/>
  </numFmts>
  <fonts count="19" x14ac:knownFonts="1">
    <font>
      <sz val="11"/>
      <color theme="1"/>
      <name val="Calibri"/>
      <family val="2"/>
      <charset val="1"/>
    </font>
    <font>
      <sz val="11"/>
      <name val="Calibri"/>
      <family val="2"/>
      <charset val="1"/>
    </font>
    <font>
      <b/>
      <sz val="11"/>
      <name val="Calibri"/>
      <family val="2"/>
      <charset val="1"/>
    </font>
    <font>
      <b/>
      <sz val="11"/>
      <color rgb="FFFFFFFF"/>
      <name val="Calibri"/>
      <charset val="1"/>
    </font>
    <font>
      <sz val="11"/>
      <color rgb="FF008000"/>
      <name val="Calibri"/>
      <charset val="1"/>
    </font>
    <font>
      <u/>
      <sz val="11"/>
      <color theme="10"/>
      <name val="Calibri"/>
      <family val="2"/>
      <charset val="1"/>
    </font>
    <font>
      <b/>
      <sz val="12"/>
      <color rgb="FFFFFFFF"/>
      <name val="Calibri"/>
      <charset val="1"/>
    </font>
    <font>
      <sz val="11"/>
      <color rgb="FF0000FF"/>
      <name val="Calibri"/>
      <charset val="1"/>
    </font>
    <font>
      <sz val="11"/>
      <color rgb="FF595959"/>
      <name val="Calibri"/>
      <charset val="1"/>
    </font>
    <font>
      <b/>
      <sz val="11"/>
      <color rgb="FFFFFFFF"/>
      <name val="Calibri"/>
      <family val="2"/>
      <charset val="1"/>
    </font>
    <font>
      <sz val="11"/>
      <color rgb="FF595959"/>
      <name val="Calibri"/>
      <family val="2"/>
      <charset val="1"/>
    </font>
    <font>
      <sz val="11"/>
      <color rgb="FF000000"/>
      <name val="Calibri"/>
      <charset val="1"/>
    </font>
    <font>
      <b/>
      <sz val="12"/>
      <color rgb="FFFFFFFF"/>
      <name val="Calibri"/>
      <family val="2"/>
      <charset val="1"/>
    </font>
    <font>
      <sz val="10"/>
      <name val="Arial"/>
      <family val="2"/>
    </font>
    <font>
      <b/>
      <sz val="11"/>
      <name val="Calibri"/>
      <charset val="1"/>
    </font>
    <font>
      <sz val="11"/>
      <name val="Calibri"/>
      <charset val="1"/>
    </font>
    <font>
      <b/>
      <sz val="11"/>
      <color rgb="FF008000"/>
      <name val="Calibri"/>
      <charset val="1"/>
    </font>
    <font>
      <b/>
      <sz val="11"/>
      <color theme="1"/>
      <name val="Calibri"/>
      <family val="2"/>
    </font>
    <font>
      <b/>
      <sz val="11"/>
      <color rgb="FF008000"/>
      <name val="Calibri"/>
      <family val="2"/>
    </font>
  </fonts>
  <fills count="7">
    <fill>
      <patternFill patternType="none"/>
    </fill>
    <fill>
      <patternFill patternType="gray125"/>
    </fill>
    <fill>
      <patternFill patternType="solid">
        <fgColor rgb="FFD9E1F2"/>
        <bgColor rgb="FFD9D9D9"/>
      </patternFill>
    </fill>
    <fill>
      <patternFill patternType="solid">
        <fgColor rgb="FF1F4E79"/>
        <bgColor rgb="FF1F497D"/>
      </patternFill>
    </fill>
    <fill>
      <patternFill patternType="solid">
        <fgColor rgb="FFFFF2CC"/>
        <bgColor rgb="FFF2F2F2"/>
      </patternFill>
    </fill>
    <fill>
      <patternFill patternType="solid">
        <fgColor theme="0"/>
        <bgColor rgb="FFF2F2F2"/>
      </patternFill>
    </fill>
    <fill>
      <patternFill patternType="solid">
        <fgColor theme="0"/>
        <bgColor indexed="64"/>
      </patternFill>
    </fill>
  </fills>
  <borders count="47">
    <border>
      <left/>
      <right/>
      <top/>
      <bottom/>
      <diagonal/>
    </border>
    <border>
      <left style="thin">
        <color auto="1"/>
      </left>
      <right style="thin">
        <color rgb="FFA6A6A6"/>
      </right>
      <top style="thin">
        <color auto="1"/>
      </top>
      <bottom style="thin">
        <color rgb="FFA6A6A6"/>
      </bottom>
      <diagonal/>
    </border>
    <border>
      <left style="thin">
        <color rgb="FFA6A6A6"/>
      </left>
      <right style="thin">
        <color auto="1"/>
      </right>
      <top style="thin">
        <color auto="1"/>
      </top>
      <bottom style="thin">
        <color rgb="FFA6A6A6"/>
      </bottom>
      <diagonal/>
    </border>
    <border>
      <left style="thin">
        <color auto="1"/>
      </left>
      <right style="thin">
        <color rgb="FFA6A6A6"/>
      </right>
      <top style="thin">
        <color rgb="FFA6A6A6"/>
      </top>
      <bottom style="thin">
        <color rgb="FFA6A6A6"/>
      </bottom>
      <diagonal/>
    </border>
    <border>
      <left style="thin">
        <color rgb="FFA6A6A6"/>
      </left>
      <right style="thin">
        <color auto="1"/>
      </right>
      <top style="thin">
        <color rgb="FFA6A6A6"/>
      </top>
      <bottom style="thin">
        <color rgb="FFA6A6A6"/>
      </bottom>
      <diagonal/>
    </border>
    <border>
      <left style="thin">
        <color rgb="FFA6A6A6"/>
      </left>
      <right style="thin">
        <color rgb="FFA6A6A6"/>
      </right>
      <top style="thin">
        <color auto="1"/>
      </top>
      <bottom style="thin">
        <color rgb="FFA6A6A6"/>
      </bottom>
      <diagonal/>
    </border>
    <border>
      <left style="thin">
        <color rgb="FFA6A6A6"/>
      </left>
      <right style="thin">
        <color rgb="FFA6A6A6"/>
      </right>
      <top style="thin">
        <color rgb="FFA6A6A6"/>
      </top>
      <bottom style="thin">
        <color rgb="FFA6A6A6"/>
      </bottom>
      <diagonal/>
    </border>
    <border>
      <left style="thin">
        <color auto="1"/>
      </left>
      <right/>
      <top style="thin">
        <color rgb="FFA6A6A6"/>
      </top>
      <bottom style="thin">
        <color rgb="FFA6A6A6"/>
      </bottom>
      <diagonal/>
    </border>
    <border>
      <left style="thin">
        <color auto="1"/>
      </left>
      <right style="thin">
        <color rgb="FFA6A6A6"/>
      </right>
      <top style="thin">
        <color rgb="FFA6A6A6"/>
      </top>
      <bottom style="thin">
        <color auto="1"/>
      </bottom>
      <diagonal/>
    </border>
    <border>
      <left style="thin">
        <color rgb="FFA6A6A6"/>
      </left>
      <right style="thin">
        <color rgb="FFA6A6A6"/>
      </right>
      <top style="thin">
        <color rgb="FFA6A6A6"/>
      </top>
      <bottom style="thin">
        <color auto="1"/>
      </bottom>
      <diagonal/>
    </border>
    <border>
      <left style="thin">
        <color rgb="FFA6A6A6"/>
      </left>
      <right style="thin">
        <color auto="1"/>
      </right>
      <top style="thin">
        <color rgb="FFA6A6A6"/>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rgb="FFA6A6A6"/>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rgb="FFA6A6A6"/>
      </right>
      <top/>
      <bottom/>
      <diagonal/>
    </border>
    <border>
      <left style="thin">
        <color rgb="FFA6A6A6"/>
      </left>
      <right style="thin">
        <color rgb="FFA6A6A6"/>
      </right>
      <top/>
      <bottom style="thin">
        <color rgb="FFA6A6A6"/>
      </bottom>
      <diagonal/>
    </border>
    <border>
      <left style="thin">
        <color rgb="FFA6A6A6"/>
      </left>
      <right style="thin">
        <color rgb="FFA6A6A6"/>
      </right>
      <top/>
      <bottom/>
      <diagonal/>
    </border>
    <border>
      <left style="thin">
        <color rgb="FFA6A6A6"/>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rgb="FFA6A6A6"/>
      </right>
      <top style="thin">
        <color auto="1"/>
      </top>
      <bottom/>
      <diagonal/>
    </border>
    <border>
      <left style="thin">
        <color rgb="FFA6A6A6"/>
      </left>
      <right style="thin">
        <color auto="1"/>
      </right>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auto="1"/>
      </top>
      <bottom style="thin">
        <color rgb="FFA6A6A6"/>
      </bottom>
      <diagonal/>
    </border>
    <border>
      <left/>
      <right style="thin">
        <color auto="1"/>
      </right>
      <top style="thin">
        <color rgb="FFA6A6A6"/>
      </top>
      <bottom style="thin">
        <color rgb="FFA6A6A6"/>
      </bottom>
      <diagonal/>
    </border>
    <border>
      <left/>
      <right style="thin">
        <color rgb="FFA6A6A6"/>
      </right>
      <top style="thin">
        <color rgb="FFA6A6A6"/>
      </top>
      <bottom style="thin">
        <color rgb="FFA6A6A6"/>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rgb="FFA6A6A6"/>
      </bottom>
      <diagonal/>
    </border>
    <border>
      <left style="thin">
        <color auto="1"/>
      </left>
      <right style="thin">
        <color rgb="FFA6A6A6"/>
      </right>
      <top/>
      <bottom style="thin">
        <color rgb="FFA6A6A6"/>
      </bottom>
      <diagonal/>
    </border>
    <border>
      <left style="thin">
        <color rgb="FFA6A6A6"/>
      </left>
      <right/>
      <top/>
      <bottom style="thin">
        <color rgb="FFA6A6A6"/>
      </bottom>
      <diagonal/>
    </border>
    <border>
      <left/>
      <right style="thin">
        <color auto="1"/>
      </right>
      <top style="thin">
        <color auto="1"/>
      </top>
      <bottom style="thin">
        <color rgb="FFA6A6A6"/>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style="thin">
        <color auto="1"/>
      </top>
      <bottom style="thin">
        <color rgb="FFA6A6A6"/>
      </bottom>
      <diagonal/>
    </border>
    <border>
      <left/>
      <right/>
      <top style="thin">
        <color auto="1"/>
      </top>
      <bottom/>
      <diagonal/>
    </border>
    <border>
      <left style="thin">
        <color auto="1"/>
      </left>
      <right style="thin">
        <color auto="1"/>
      </right>
      <top style="thin">
        <color rgb="FFA6A6A6"/>
      </top>
      <bottom style="thin">
        <color rgb="FFA6A6A6"/>
      </bottom>
      <diagonal/>
    </border>
    <border>
      <left style="thin">
        <color auto="1"/>
      </left>
      <right style="thin">
        <color auto="1"/>
      </right>
      <top/>
      <bottom style="thin">
        <color auto="1"/>
      </bottom>
      <diagonal/>
    </border>
    <border>
      <left style="thin">
        <color auto="1"/>
      </left>
      <right style="thin">
        <color auto="1"/>
      </right>
      <top style="thin">
        <color rgb="FFA6A6A6"/>
      </top>
      <bottom style="thin">
        <color auto="1"/>
      </bottom>
      <diagonal/>
    </border>
    <border>
      <left style="thin">
        <color auto="1"/>
      </left>
      <right style="thin">
        <color rgb="FFA6A6A6"/>
      </right>
      <top/>
      <bottom style="thin">
        <color auto="1"/>
      </bottom>
      <diagonal/>
    </border>
    <border>
      <left style="thin">
        <color rgb="FFA6A6A6"/>
      </left>
      <right style="thin">
        <color auto="1"/>
      </right>
      <top/>
      <bottom style="thin">
        <color auto="1"/>
      </bottom>
      <diagonal/>
    </border>
    <border>
      <left style="thin">
        <color rgb="FFA6A6A6"/>
      </left>
      <right style="thin">
        <color auto="1"/>
      </right>
      <top style="thin">
        <color auto="1"/>
      </top>
      <bottom style="thin">
        <color auto="1"/>
      </bottom>
      <diagonal/>
    </border>
    <border>
      <left/>
      <right/>
      <top style="thin">
        <color auto="1"/>
      </top>
      <bottom style="thin">
        <color indexed="64"/>
      </bottom>
      <diagonal/>
    </border>
  </borders>
  <cellStyleXfs count="1">
    <xf numFmtId="0" fontId="0" fillId="0" borderId="0"/>
  </cellStyleXfs>
  <cellXfs count="199">
    <xf numFmtId="0" fontId="0" fillId="0" borderId="0" xfId="0"/>
    <xf numFmtId="0" fontId="0" fillId="0" borderId="3" xfId="0" applyBorder="1" applyAlignment="1">
      <alignment vertical="center"/>
    </xf>
    <xf numFmtId="0" fontId="0" fillId="0" borderId="14" xfId="0" applyBorder="1" applyAlignment="1">
      <alignment vertical="center"/>
    </xf>
    <xf numFmtId="0" fontId="1" fillId="0" borderId="0" xfId="0" applyFont="1" applyAlignment="1">
      <alignment vertical="center"/>
    </xf>
    <xf numFmtId="0" fontId="2" fillId="2" borderId="1" xfId="0" applyFont="1" applyFill="1" applyBorder="1" applyAlignment="1">
      <alignment vertical="center" wrapText="1"/>
    </xf>
    <xf numFmtId="0" fontId="1" fillId="0" borderId="2" xfId="0" applyFont="1" applyBorder="1" applyAlignment="1">
      <alignment vertical="center" wrapText="1"/>
    </xf>
    <xf numFmtId="0" fontId="2" fillId="2" borderId="3" xfId="0" applyFont="1" applyFill="1" applyBorder="1" applyAlignment="1">
      <alignment vertical="center" wrapText="1"/>
    </xf>
    <xf numFmtId="0" fontId="1" fillId="0" borderId="4" xfId="0" applyFont="1" applyBorder="1" applyAlignment="1">
      <alignment vertical="center" wrapText="1"/>
    </xf>
    <xf numFmtId="0" fontId="1" fillId="0" borderId="4" xfId="0" applyFont="1" applyBorder="1" applyAlignment="1">
      <alignment vertical="top" wrapText="1"/>
    </xf>
    <xf numFmtId="0" fontId="0" fillId="0" borderId="0" xfId="0" applyAlignment="1">
      <alignment vertical="center"/>
    </xf>
    <xf numFmtId="0" fontId="3" fillId="3" borderId="1" xfId="0" applyFont="1" applyFill="1" applyBorder="1" applyAlignment="1">
      <alignment vertical="center"/>
    </xf>
    <xf numFmtId="0" fontId="3" fillId="3" borderId="5" xfId="0" applyFont="1" applyFill="1" applyBorder="1" applyAlignment="1">
      <alignment vertical="center"/>
    </xf>
    <xf numFmtId="0" fontId="3" fillId="3" borderId="2" xfId="0" applyFont="1" applyFill="1" applyBorder="1" applyAlignment="1">
      <alignment vertical="center"/>
    </xf>
    <xf numFmtId="2" fontId="0" fillId="0" borderId="6" xfId="0" applyNumberFormat="1" applyBorder="1" applyAlignment="1">
      <alignment vertical="center"/>
    </xf>
    <xf numFmtId="0" fontId="0" fillId="0" borderId="6" xfId="0" applyBorder="1" applyAlignment="1">
      <alignment vertical="center"/>
    </xf>
    <xf numFmtId="0" fontId="4" fillId="0" borderId="4" xfId="0" applyFont="1" applyBorder="1" applyAlignment="1">
      <alignment vertical="center"/>
    </xf>
    <xf numFmtId="1" fontId="0" fillId="0" borderId="6" xfId="0" applyNumberFormat="1" applyBorder="1" applyAlignment="1">
      <alignment vertical="center"/>
    </xf>
    <xf numFmtId="164" fontId="0" fillId="0" borderId="6" xfId="0" applyNumberFormat="1" applyBorder="1" applyAlignment="1">
      <alignment vertical="center"/>
    </xf>
    <xf numFmtId="165" fontId="0" fillId="0" borderId="6" xfId="0" applyNumberFormat="1" applyBorder="1" applyAlignment="1">
      <alignment vertical="center"/>
    </xf>
    <xf numFmtId="0" fontId="5" fillId="0" borderId="4" xfId="0" applyFont="1" applyBorder="1" applyAlignment="1">
      <alignment vertical="center"/>
    </xf>
    <xf numFmtId="0" fontId="0" fillId="0" borderId="8" xfId="0" applyBorder="1" applyAlignment="1">
      <alignment vertical="center"/>
    </xf>
    <xf numFmtId="165" fontId="0" fillId="0" borderId="9" xfId="0" applyNumberFormat="1" applyBorder="1" applyAlignment="1">
      <alignment vertical="center"/>
    </xf>
    <xf numFmtId="0" fontId="0" fillId="0" borderId="9" xfId="0" applyBorder="1" applyAlignment="1">
      <alignment vertical="center"/>
    </xf>
    <xf numFmtId="0" fontId="5" fillId="0" borderId="10" xfId="0" applyFont="1" applyBorder="1" applyAlignment="1">
      <alignment vertical="center"/>
    </xf>
    <xf numFmtId="1" fontId="0" fillId="0" borderId="9" xfId="0" applyNumberFormat="1" applyBorder="1" applyAlignment="1">
      <alignment vertical="center"/>
    </xf>
    <xf numFmtId="166" fontId="7" fillId="4" borderId="6" xfId="0" applyNumberFormat="1" applyFont="1" applyFill="1" applyBorder="1" applyAlignment="1">
      <alignment vertical="center"/>
    </xf>
    <xf numFmtId="166" fontId="4" fillId="0" borderId="6" xfId="0" applyNumberFormat="1" applyFont="1" applyBorder="1" applyAlignment="1">
      <alignment vertical="center"/>
    </xf>
    <xf numFmtId="0" fontId="8" fillId="0" borderId="4" xfId="0" applyFont="1" applyBorder="1" applyAlignment="1">
      <alignment vertical="center"/>
    </xf>
    <xf numFmtId="9" fontId="7" fillId="4" borderId="6" xfId="0" applyNumberFormat="1" applyFont="1" applyFill="1" applyBorder="1" applyAlignment="1">
      <alignment vertical="center"/>
    </xf>
    <xf numFmtId="1" fontId="4" fillId="0" borderId="6" xfId="0" applyNumberFormat="1" applyFont="1" applyBorder="1" applyAlignment="1">
      <alignment vertical="center"/>
    </xf>
    <xf numFmtId="0" fontId="9" fillId="3" borderId="3" xfId="0" applyFont="1" applyFill="1" applyBorder="1" applyAlignment="1">
      <alignment vertical="center"/>
    </xf>
    <xf numFmtId="0" fontId="3" fillId="3" borderId="6" xfId="0" applyFont="1" applyFill="1" applyBorder="1" applyAlignment="1">
      <alignment vertical="center"/>
    </xf>
    <xf numFmtId="0" fontId="3" fillId="3" borderId="4" xfId="0" applyFont="1" applyFill="1" applyBorder="1" applyAlignment="1">
      <alignment vertical="center"/>
    </xf>
    <xf numFmtId="166" fontId="7" fillId="4" borderId="9" xfId="0" applyNumberFormat="1" applyFont="1" applyFill="1" applyBorder="1" applyAlignment="1">
      <alignment vertical="center"/>
    </xf>
    <xf numFmtId="166" fontId="4" fillId="0" borderId="9" xfId="0" applyNumberFormat="1" applyFont="1" applyBorder="1" applyAlignment="1">
      <alignment vertical="center"/>
    </xf>
    <xf numFmtId="0" fontId="8" fillId="0" borderId="10" xfId="0" applyFont="1" applyBorder="1" applyAlignment="1">
      <alignment vertical="center"/>
    </xf>
    <xf numFmtId="166" fontId="0" fillId="0" borderId="0" xfId="0" applyNumberFormat="1" applyAlignment="1">
      <alignment vertical="center"/>
    </xf>
    <xf numFmtId="1" fontId="0" fillId="0" borderId="0" xfId="0" applyNumberFormat="1" applyAlignment="1">
      <alignment vertical="center"/>
    </xf>
    <xf numFmtId="0" fontId="3" fillId="3" borderId="3" xfId="0" applyFont="1" applyFill="1" applyBorder="1" applyAlignment="1">
      <alignment vertical="center"/>
    </xf>
    <xf numFmtId="0" fontId="8" fillId="0" borderId="6" xfId="0" applyFont="1" applyBorder="1" applyAlignment="1">
      <alignment vertical="center"/>
    </xf>
    <xf numFmtId="1" fontId="7" fillId="4" borderId="6" xfId="0" applyNumberFormat="1" applyFont="1" applyFill="1" applyBorder="1" applyAlignment="1">
      <alignment vertical="center"/>
    </xf>
    <xf numFmtId="2" fontId="7" fillId="4" borderId="6" xfId="0" applyNumberFormat="1" applyFont="1" applyFill="1" applyBorder="1" applyAlignment="1">
      <alignment vertical="center"/>
    </xf>
    <xf numFmtId="0" fontId="10" fillId="0" borderId="4" xfId="0" applyFont="1" applyBorder="1" applyAlignment="1">
      <alignment vertical="center"/>
    </xf>
    <xf numFmtId="2" fontId="11" fillId="4" borderId="6" xfId="0" applyNumberFormat="1" applyFont="1" applyFill="1" applyBorder="1" applyAlignment="1">
      <alignment vertical="center"/>
    </xf>
    <xf numFmtId="0" fontId="8" fillId="0" borderId="9" xfId="0" applyFont="1" applyBorder="1" applyAlignment="1">
      <alignment vertical="center"/>
    </xf>
    <xf numFmtId="2" fontId="7" fillId="4" borderId="9" xfId="0" applyNumberFormat="1" applyFont="1" applyFill="1" applyBorder="1" applyAlignment="1">
      <alignment vertical="center"/>
    </xf>
    <xf numFmtId="0" fontId="8" fillId="0" borderId="10" xfId="0" applyFont="1" applyBorder="1" applyAlignment="1">
      <alignment vertical="center" wrapText="1"/>
    </xf>
    <xf numFmtId="164" fontId="7" fillId="4" borderId="6" xfId="0" applyNumberFormat="1" applyFont="1" applyFill="1" applyBorder="1" applyAlignment="1">
      <alignment vertical="center"/>
    </xf>
    <xf numFmtId="0" fontId="0" fillId="5" borderId="0" xfId="0" applyFill="1" applyAlignment="1">
      <alignment vertical="center"/>
    </xf>
    <xf numFmtId="0" fontId="3" fillId="3" borderId="13" xfId="0" applyFont="1" applyFill="1" applyBorder="1" applyAlignment="1">
      <alignment vertical="center"/>
    </xf>
    <xf numFmtId="0" fontId="9" fillId="3" borderId="13" xfId="0" applyFont="1" applyFill="1" applyBorder="1" applyAlignment="1">
      <alignment vertical="center"/>
    </xf>
    <xf numFmtId="0" fontId="3" fillId="3" borderId="11" xfId="0" applyFont="1" applyFill="1" applyBorder="1" applyAlignment="1">
      <alignment vertical="center"/>
    </xf>
    <xf numFmtId="0" fontId="0" fillId="0" borderId="16" xfId="0" applyBorder="1" applyAlignment="1">
      <alignment vertical="center"/>
    </xf>
    <xf numFmtId="9" fontId="7" fillId="4" borderId="16" xfId="0" applyNumberFormat="1" applyFont="1" applyFill="1" applyBorder="1" applyAlignment="1">
      <alignment vertical="center"/>
    </xf>
    <xf numFmtId="0" fontId="0" fillId="0" borderId="6" xfId="0" applyBorder="1" applyAlignment="1">
      <alignment horizontal="left" vertical="center"/>
    </xf>
    <xf numFmtId="0" fontId="0" fillId="5" borderId="19" xfId="0" applyFill="1" applyBorder="1" applyAlignment="1">
      <alignment vertical="center"/>
    </xf>
    <xf numFmtId="0" fontId="0" fillId="5" borderId="20" xfId="0" applyFill="1" applyBorder="1" applyAlignment="1">
      <alignment vertical="center"/>
    </xf>
    <xf numFmtId="0" fontId="0" fillId="5" borderId="21" xfId="0" applyFill="1" applyBorder="1" applyAlignment="1">
      <alignment vertical="center"/>
    </xf>
    <xf numFmtId="0" fontId="0" fillId="5" borderId="22" xfId="0" applyFill="1" applyBorder="1" applyAlignment="1">
      <alignment vertical="center"/>
    </xf>
    <xf numFmtId="0" fontId="0" fillId="5" borderId="23" xfId="0" applyFill="1" applyBorder="1" applyAlignment="1">
      <alignment vertical="center"/>
    </xf>
    <xf numFmtId="166" fontId="4" fillId="0" borderId="16" xfId="0" applyNumberFormat="1" applyFont="1" applyBorder="1" applyAlignment="1">
      <alignment vertical="center"/>
    </xf>
    <xf numFmtId="0" fontId="10" fillId="0" borderId="10" xfId="0" applyFont="1" applyBorder="1" applyAlignment="1">
      <alignment vertical="center"/>
    </xf>
    <xf numFmtId="0" fontId="2" fillId="2" borderId="13" xfId="0" applyFont="1" applyFill="1" applyBorder="1" applyAlignment="1">
      <alignment horizontal="right" vertical="center"/>
    </xf>
    <xf numFmtId="0" fontId="2" fillId="2" borderId="13" xfId="0" applyFont="1" applyFill="1" applyBorder="1" applyAlignment="1">
      <alignment horizontal="center" vertical="center"/>
    </xf>
    <xf numFmtId="0" fontId="2" fillId="2" borderId="13" xfId="0" applyFont="1" applyFill="1" applyBorder="1" applyAlignment="1">
      <alignment vertical="center"/>
    </xf>
    <xf numFmtId="0" fontId="3" fillId="3" borderId="26" xfId="0" applyFont="1" applyFill="1" applyBorder="1" applyAlignment="1">
      <alignment vertical="center"/>
    </xf>
    <xf numFmtId="0" fontId="9" fillId="3" borderId="1" xfId="0" applyFont="1" applyFill="1" applyBorder="1" applyAlignment="1">
      <alignment vertical="center"/>
    </xf>
    <xf numFmtId="0" fontId="9" fillId="3" borderId="27" xfId="0" applyFont="1" applyFill="1" applyBorder="1" applyAlignment="1">
      <alignment vertical="center"/>
    </xf>
    <xf numFmtId="0" fontId="3" fillId="3" borderId="28" xfId="0" applyFont="1" applyFill="1" applyBorder="1" applyAlignment="1">
      <alignment vertical="center"/>
    </xf>
    <xf numFmtId="0" fontId="0" fillId="0" borderId="26" xfId="0" applyBorder="1" applyAlignment="1">
      <alignment vertical="center"/>
    </xf>
    <xf numFmtId="167" fontId="4" fillId="0" borderId="3" xfId="0" applyNumberFormat="1" applyFont="1" applyBorder="1" applyAlignment="1">
      <alignment vertical="center"/>
    </xf>
    <xf numFmtId="2" fontId="0" fillId="0" borderId="4" xfId="0" applyNumberFormat="1" applyBorder="1" applyAlignment="1">
      <alignment vertical="center"/>
    </xf>
    <xf numFmtId="167" fontId="4" fillId="0" borderId="29" xfId="0" applyNumberFormat="1" applyFont="1" applyBorder="1" applyAlignment="1">
      <alignment vertical="center"/>
    </xf>
    <xf numFmtId="0" fontId="8" fillId="0" borderId="28" xfId="0" applyFont="1" applyBorder="1" applyAlignment="1">
      <alignment vertical="center"/>
    </xf>
    <xf numFmtId="0" fontId="10" fillId="0" borderId="28" xfId="0" applyFont="1" applyBorder="1" applyAlignment="1">
      <alignment vertical="center"/>
    </xf>
    <xf numFmtId="0" fontId="2" fillId="2" borderId="30" xfId="0" applyFont="1" applyFill="1" applyBorder="1" applyAlignment="1">
      <alignment horizontal="right" vertical="center"/>
    </xf>
    <xf numFmtId="0" fontId="2" fillId="2" borderId="31" xfId="0" applyFont="1" applyFill="1" applyBorder="1" applyAlignment="1">
      <alignment vertical="center"/>
    </xf>
    <xf numFmtId="0" fontId="3" fillId="3" borderId="7" xfId="0" applyFont="1" applyFill="1" applyBorder="1" applyAlignment="1">
      <alignment vertical="center"/>
    </xf>
    <xf numFmtId="0" fontId="9" fillId="3" borderId="32" xfId="0" applyFont="1" applyFill="1" applyBorder="1" applyAlignment="1">
      <alignment vertical="center"/>
    </xf>
    <xf numFmtId="0" fontId="9" fillId="3" borderId="5" xfId="0" applyFont="1" applyFill="1" applyBorder="1" applyAlignment="1">
      <alignment vertical="center"/>
    </xf>
    <xf numFmtId="0" fontId="9" fillId="3" borderId="2" xfId="0" applyFont="1" applyFill="1" applyBorder="1" applyAlignment="1">
      <alignment vertical="center"/>
    </xf>
    <xf numFmtId="0" fontId="0" fillId="0" borderId="7" xfId="0" applyBorder="1" applyAlignment="1">
      <alignment vertical="center"/>
    </xf>
    <xf numFmtId="1" fontId="4" fillId="0" borderId="3" xfId="0" applyNumberFormat="1" applyFont="1" applyBorder="1" applyAlignment="1">
      <alignment vertical="center"/>
    </xf>
    <xf numFmtId="1" fontId="0" fillId="0" borderId="4" xfId="0" applyNumberFormat="1" applyBorder="1" applyAlignment="1">
      <alignment vertical="center"/>
    </xf>
    <xf numFmtId="0" fontId="3" fillId="3" borderId="33" xfId="0" applyFont="1" applyFill="1" applyBorder="1" applyAlignment="1">
      <alignment vertical="center"/>
    </xf>
    <xf numFmtId="0" fontId="3" fillId="3" borderId="34" xfId="0" applyFont="1" applyFill="1" applyBorder="1" applyAlignment="1">
      <alignment vertical="center"/>
    </xf>
    <xf numFmtId="0" fontId="9" fillId="3" borderId="28" xfId="0" applyFont="1" applyFill="1" applyBorder="1" applyAlignment="1">
      <alignment vertical="center"/>
    </xf>
    <xf numFmtId="0" fontId="3" fillId="3" borderId="32" xfId="0" applyFont="1" applyFill="1" applyBorder="1" applyAlignment="1">
      <alignment vertical="center"/>
    </xf>
    <xf numFmtId="0" fontId="3" fillId="3" borderId="35" xfId="0" applyFont="1" applyFill="1" applyBorder="1" applyAlignment="1">
      <alignment vertical="center"/>
    </xf>
    <xf numFmtId="0" fontId="2" fillId="2" borderId="30" xfId="0" applyFont="1" applyFill="1" applyBorder="1" applyAlignment="1">
      <alignment horizontal="center" vertical="center"/>
    </xf>
    <xf numFmtId="0" fontId="2" fillId="2" borderId="31" xfId="0" applyFont="1" applyFill="1" applyBorder="1" applyAlignment="1">
      <alignment horizontal="center" vertical="center"/>
    </xf>
    <xf numFmtId="0" fontId="2" fillId="2" borderId="30" xfId="0" applyFont="1" applyFill="1" applyBorder="1" applyAlignment="1">
      <alignment vertical="center"/>
    </xf>
    <xf numFmtId="0" fontId="9" fillId="3" borderId="36" xfId="0" applyFont="1" applyFill="1" applyBorder="1" applyAlignment="1">
      <alignment vertical="center"/>
    </xf>
    <xf numFmtId="0" fontId="3" fillId="3" borderId="37" xfId="0" applyFont="1" applyFill="1" applyBorder="1" applyAlignment="1">
      <alignment vertical="center"/>
    </xf>
    <xf numFmtId="0" fontId="0" fillId="0" borderId="38" xfId="0" applyBorder="1" applyAlignment="1">
      <alignment vertical="center"/>
    </xf>
    <xf numFmtId="1" fontId="4" fillId="0" borderId="38" xfId="0" applyNumberFormat="1" applyFont="1" applyBorder="1" applyAlignment="1">
      <alignment vertical="center"/>
    </xf>
    <xf numFmtId="1" fontId="0" fillId="0" borderId="1" xfId="0" applyNumberFormat="1" applyBorder="1" applyAlignment="1">
      <alignment vertical="center"/>
    </xf>
    <xf numFmtId="1" fontId="0" fillId="0" borderId="2" xfId="0" applyNumberFormat="1" applyBorder="1" applyAlignment="1">
      <alignment vertical="center"/>
    </xf>
    <xf numFmtId="0" fontId="8" fillId="0" borderId="38" xfId="0" applyFont="1" applyBorder="1" applyAlignment="1">
      <alignment vertical="center"/>
    </xf>
    <xf numFmtId="0" fontId="0" fillId="0" borderId="11" xfId="0" applyBorder="1" applyAlignment="1">
      <alignment vertical="center"/>
    </xf>
    <xf numFmtId="1" fontId="4" fillId="0" borderId="39" xfId="0" applyNumberFormat="1" applyFont="1" applyBorder="1" applyAlignment="1">
      <alignment vertical="center"/>
    </xf>
    <xf numFmtId="9" fontId="0" fillId="0" borderId="39" xfId="0" applyNumberFormat="1" applyBorder="1" applyAlignment="1">
      <alignment vertical="center"/>
    </xf>
    <xf numFmtId="1" fontId="4" fillId="0" borderId="36" xfId="0" applyNumberFormat="1" applyFont="1" applyBorder="1" applyAlignment="1">
      <alignment vertical="center"/>
    </xf>
    <xf numFmtId="0" fontId="10" fillId="0" borderId="37" xfId="0" applyFont="1" applyBorder="1" applyAlignment="1">
      <alignment vertical="center"/>
    </xf>
    <xf numFmtId="0" fontId="0" fillId="0" borderId="40" xfId="0" applyBorder="1" applyAlignment="1">
      <alignment vertical="center"/>
    </xf>
    <xf numFmtId="1" fontId="4" fillId="0" borderId="40" xfId="0" applyNumberFormat="1" applyFont="1" applyBorder="1" applyAlignment="1">
      <alignment vertical="center"/>
    </xf>
    <xf numFmtId="1" fontId="0" fillId="0" borderId="3" xfId="0" applyNumberFormat="1" applyBorder="1" applyAlignment="1">
      <alignment vertical="center"/>
    </xf>
    <xf numFmtId="0" fontId="8" fillId="0" borderId="40" xfId="0" applyFont="1" applyBorder="1" applyAlignment="1">
      <alignment vertical="center"/>
    </xf>
    <xf numFmtId="1" fontId="4" fillId="0" borderId="0" xfId="0" applyNumberFormat="1" applyFont="1" applyAlignment="1">
      <alignment vertical="center"/>
    </xf>
    <xf numFmtId="9" fontId="0" fillId="0" borderId="0" xfId="0" applyNumberFormat="1" applyAlignment="1">
      <alignment vertical="center"/>
    </xf>
    <xf numFmtId="1" fontId="4" fillId="0" borderId="19" xfId="0" applyNumberFormat="1" applyFont="1" applyBorder="1" applyAlignment="1">
      <alignment vertical="center"/>
    </xf>
    <xf numFmtId="0" fontId="8" fillId="0" borderId="20" xfId="0" applyFont="1" applyBorder="1" applyAlignment="1">
      <alignment vertical="center"/>
    </xf>
    <xf numFmtId="1" fontId="0" fillId="0" borderId="25" xfId="0" applyNumberFormat="1" applyBorder="1" applyAlignment="1">
      <alignment vertical="center"/>
    </xf>
    <xf numFmtId="0" fontId="0" fillId="0" borderId="41" xfId="0" applyBorder="1" applyAlignment="1">
      <alignment vertical="center"/>
    </xf>
    <xf numFmtId="1" fontId="4" fillId="0" borderId="22" xfId="0" applyNumberFormat="1" applyFont="1" applyBorder="1" applyAlignment="1">
      <alignment vertical="center"/>
    </xf>
    <xf numFmtId="9" fontId="0" fillId="0" borderId="22" xfId="0" applyNumberFormat="1" applyBorder="1" applyAlignment="1">
      <alignment vertical="center"/>
    </xf>
    <xf numFmtId="1" fontId="4" fillId="0" borderId="21" xfId="0" applyNumberFormat="1" applyFont="1" applyBorder="1" applyAlignment="1">
      <alignment vertical="center"/>
    </xf>
    <xf numFmtId="0" fontId="8" fillId="0" borderId="23" xfId="0" applyFont="1" applyBorder="1" applyAlignment="1">
      <alignment vertical="center"/>
    </xf>
    <xf numFmtId="0" fontId="0" fillId="0" borderId="42" xfId="0" applyBorder="1" applyAlignment="1">
      <alignment vertical="center"/>
    </xf>
    <xf numFmtId="1" fontId="4" fillId="0" borderId="42" xfId="0" applyNumberFormat="1" applyFont="1" applyBorder="1" applyAlignment="1">
      <alignment vertical="center"/>
    </xf>
    <xf numFmtId="1" fontId="0" fillId="0" borderId="8" xfId="0" applyNumberFormat="1" applyBorder="1" applyAlignment="1">
      <alignment vertical="center"/>
    </xf>
    <xf numFmtId="1" fontId="0" fillId="0" borderId="10" xfId="0" applyNumberFormat="1" applyBorder="1" applyAlignment="1">
      <alignment vertical="center"/>
    </xf>
    <xf numFmtId="0" fontId="8" fillId="0" borderId="13" xfId="0" applyFont="1" applyBorder="1" applyAlignment="1">
      <alignment vertical="center"/>
    </xf>
    <xf numFmtId="0" fontId="17" fillId="0" borderId="41" xfId="0" applyFont="1" applyBorder="1" applyAlignment="1">
      <alignment vertical="center"/>
    </xf>
    <xf numFmtId="1" fontId="18" fillId="0" borderId="41" xfId="0" applyNumberFormat="1" applyFont="1" applyBorder="1" applyAlignment="1">
      <alignment vertical="center"/>
    </xf>
    <xf numFmtId="1" fontId="17" fillId="0" borderId="43" xfId="0" applyNumberFormat="1" applyFont="1" applyBorder="1" applyAlignment="1">
      <alignment vertical="center"/>
    </xf>
    <xf numFmtId="1" fontId="17" fillId="0" borderId="44" xfId="0" applyNumberFormat="1" applyFont="1" applyBorder="1" applyAlignment="1">
      <alignment vertical="center"/>
    </xf>
    <xf numFmtId="1" fontId="17" fillId="0" borderId="45" xfId="0" applyNumberFormat="1" applyFont="1" applyBorder="1" applyAlignment="1">
      <alignment vertical="center"/>
    </xf>
    <xf numFmtId="0" fontId="14" fillId="2" borderId="14" xfId="0" applyFont="1" applyFill="1" applyBorder="1" applyAlignment="1">
      <alignment vertical="center"/>
    </xf>
    <xf numFmtId="0" fontId="14" fillId="2" borderId="0" xfId="0" applyFont="1" applyFill="1" applyAlignment="1">
      <alignment vertical="center"/>
    </xf>
    <xf numFmtId="0" fontId="14" fillId="2" borderId="20" xfId="0" applyFont="1" applyFill="1" applyBorder="1" applyAlignment="1">
      <alignment vertical="center"/>
    </xf>
    <xf numFmtId="0" fontId="3" fillId="3" borderId="41" xfId="0" applyFont="1" applyFill="1" applyBorder="1" applyAlignment="1">
      <alignment vertical="center"/>
    </xf>
    <xf numFmtId="0" fontId="3" fillId="3" borderId="22" xfId="0" applyFont="1" applyFill="1" applyBorder="1" applyAlignment="1">
      <alignment vertical="center"/>
    </xf>
    <xf numFmtId="0" fontId="3" fillId="3" borderId="21" xfId="0" applyFont="1" applyFill="1" applyBorder="1" applyAlignment="1">
      <alignment vertical="center"/>
    </xf>
    <xf numFmtId="0" fontId="3" fillId="3" borderId="23" xfId="0" applyFont="1" applyFill="1" applyBorder="1" applyAlignment="1">
      <alignment vertical="center"/>
    </xf>
    <xf numFmtId="0" fontId="14" fillId="2" borderId="11" xfId="0" applyFont="1" applyFill="1" applyBorder="1" applyAlignment="1">
      <alignment vertical="center"/>
    </xf>
    <xf numFmtId="0" fontId="0" fillId="6" borderId="0" xfId="0" applyFill="1" applyAlignment="1">
      <alignment vertical="center"/>
    </xf>
    <xf numFmtId="0" fontId="15" fillId="6" borderId="14" xfId="0" applyFont="1" applyFill="1" applyBorder="1" applyAlignment="1">
      <alignment vertical="center"/>
    </xf>
    <xf numFmtId="168" fontId="4" fillId="6" borderId="19" xfId="0" applyNumberFormat="1" applyFont="1" applyFill="1" applyBorder="1" applyAlignment="1">
      <alignment vertical="center"/>
    </xf>
    <xf numFmtId="168" fontId="4" fillId="6" borderId="0" xfId="0" applyNumberFormat="1" applyFont="1" applyFill="1" applyAlignment="1">
      <alignment vertical="center"/>
    </xf>
    <xf numFmtId="168" fontId="15" fillId="6" borderId="0" xfId="0" applyNumberFormat="1" applyFont="1" applyFill="1" applyAlignment="1">
      <alignment vertical="center"/>
    </xf>
    <xf numFmtId="169" fontId="15" fillId="6" borderId="0" xfId="0" applyNumberFormat="1" applyFont="1" applyFill="1" applyAlignment="1">
      <alignment vertical="center"/>
    </xf>
    <xf numFmtId="169" fontId="15" fillId="6" borderId="20" xfId="0" applyNumberFormat="1" applyFont="1" applyFill="1" applyBorder="1" applyAlignment="1">
      <alignment vertical="center"/>
    </xf>
    <xf numFmtId="0" fontId="14" fillId="6" borderId="13" xfId="0" applyFont="1" applyFill="1" applyBorder="1" applyAlignment="1">
      <alignment vertical="center"/>
    </xf>
    <xf numFmtId="168" fontId="16" fillId="6" borderId="30" xfId="0" applyNumberFormat="1" applyFont="1" applyFill="1" applyBorder="1" applyAlignment="1">
      <alignment vertical="center"/>
    </xf>
    <xf numFmtId="0" fontId="0" fillId="6" borderId="46" xfId="0" applyFill="1" applyBorder="1" applyAlignment="1">
      <alignment vertical="center"/>
    </xf>
    <xf numFmtId="168" fontId="14" fillId="6" borderId="46" xfId="0" applyNumberFormat="1" applyFont="1" applyFill="1" applyBorder="1" applyAlignment="1">
      <alignment vertical="center"/>
    </xf>
    <xf numFmtId="169" fontId="14" fillId="6" borderId="46" xfId="0" applyNumberFormat="1" applyFont="1" applyFill="1" applyBorder="1" applyAlignment="1">
      <alignment vertical="center"/>
    </xf>
    <xf numFmtId="169" fontId="14" fillId="6" borderId="31" xfId="0" applyNumberFormat="1" applyFont="1" applyFill="1" applyBorder="1" applyAlignment="1">
      <alignment vertical="center"/>
    </xf>
    <xf numFmtId="0" fontId="7" fillId="5" borderId="0" xfId="0" applyFont="1" applyFill="1" applyAlignment="1">
      <alignment vertical="center"/>
    </xf>
    <xf numFmtId="3" fontId="7" fillId="5" borderId="0" xfId="0" applyNumberFormat="1" applyFont="1" applyFill="1" applyAlignment="1">
      <alignment vertical="center"/>
    </xf>
    <xf numFmtId="1" fontId="15" fillId="6" borderId="0" xfId="0" applyNumberFormat="1" applyFont="1" applyFill="1" applyAlignment="1">
      <alignment vertical="center"/>
    </xf>
    <xf numFmtId="168" fontId="15" fillId="6" borderId="19" xfId="0" applyNumberFormat="1" applyFont="1" applyFill="1" applyBorder="1" applyAlignment="1">
      <alignment vertical="center"/>
    </xf>
    <xf numFmtId="168" fontId="15" fillId="6" borderId="20" xfId="0" applyNumberFormat="1" applyFont="1" applyFill="1" applyBorder="1" applyAlignment="1">
      <alignment vertical="center"/>
    </xf>
    <xf numFmtId="0" fontId="8" fillId="6" borderId="20" xfId="0" applyFont="1" applyFill="1" applyBorder="1" applyAlignment="1">
      <alignment vertical="center"/>
    </xf>
    <xf numFmtId="0" fontId="0" fillId="6" borderId="20" xfId="0" applyFill="1" applyBorder="1" applyAlignment="1">
      <alignment vertical="center"/>
    </xf>
    <xf numFmtId="3" fontId="14" fillId="6" borderId="46" xfId="0" applyNumberFormat="1" applyFont="1" applyFill="1" applyBorder="1" applyAlignment="1">
      <alignment vertical="center"/>
    </xf>
    <xf numFmtId="168" fontId="14" fillId="6" borderId="30" xfId="0" applyNumberFormat="1" applyFont="1" applyFill="1" applyBorder="1" applyAlignment="1">
      <alignment vertical="center"/>
    </xf>
    <xf numFmtId="168" fontId="14" fillId="6" borderId="31" xfId="0" applyNumberFormat="1" applyFont="1" applyFill="1" applyBorder="1" applyAlignment="1">
      <alignment vertical="center"/>
    </xf>
    <xf numFmtId="0" fontId="0" fillId="6" borderId="31" xfId="0" applyFill="1" applyBorder="1" applyAlignment="1">
      <alignment vertical="center"/>
    </xf>
    <xf numFmtId="0" fontId="0" fillId="0" borderId="7" xfId="0" applyBorder="1" applyAlignment="1">
      <alignment horizontal="center" vertical="center"/>
    </xf>
    <xf numFmtId="0" fontId="6" fillId="3" borderId="11" xfId="0" applyFont="1" applyFill="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xf>
    <xf numFmtId="0" fontId="12" fillId="3" borderId="13" xfId="0" applyFont="1" applyFill="1" applyBorder="1" applyAlignment="1">
      <alignment horizontal="center" vertical="center"/>
    </xf>
    <xf numFmtId="0" fontId="0" fillId="5" borderId="13" xfId="0" applyFill="1" applyBorder="1" applyAlignment="1">
      <alignment vertical="center"/>
    </xf>
    <xf numFmtId="0" fontId="0" fillId="0" borderId="14" xfId="0" applyBorder="1" applyAlignment="1">
      <alignment vertical="center"/>
    </xf>
    <xf numFmtId="0" fontId="9" fillId="3" borderId="14" xfId="0" applyFont="1" applyFill="1" applyBorder="1" applyAlignment="1">
      <alignment vertical="center" wrapText="1"/>
    </xf>
    <xf numFmtId="0" fontId="0" fillId="0" borderId="15" xfId="0" applyBorder="1" applyAlignment="1">
      <alignment horizontal="center" vertical="center"/>
    </xf>
    <xf numFmtId="0" fontId="8" fillId="0" borderId="17" xfId="0" applyFont="1" applyBorder="1" applyAlignment="1">
      <alignment horizontal="center" vertical="center"/>
    </xf>
    <xf numFmtId="0" fontId="8" fillId="0" borderId="18" xfId="0" applyFont="1" applyBorder="1" applyAlignment="1">
      <alignment horizontal="center" vertical="center"/>
    </xf>
    <xf numFmtId="0" fontId="0" fillId="0" borderId="3" xfId="0" applyBorder="1" applyAlignment="1">
      <alignment vertical="center"/>
    </xf>
    <xf numFmtId="0" fontId="8" fillId="0" borderId="6" xfId="0" applyFont="1" applyBorder="1" applyAlignment="1">
      <alignment vertical="center"/>
    </xf>
    <xf numFmtId="0" fontId="8" fillId="0" borderId="4" xfId="0" applyFont="1" applyBorder="1" applyAlignment="1">
      <alignment vertical="center"/>
    </xf>
    <xf numFmtId="0" fontId="0" fillId="5" borderId="19" xfId="0" applyFill="1" applyBorder="1" applyAlignment="1">
      <alignment vertical="center"/>
    </xf>
    <xf numFmtId="0" fontId="3" fillId="3" borderId="13" xfId="0" applyFont="1" applyFill="1" applyBorder="1" applyAlignment="1">
      <alignment vertical="center"/>
    </xf>
    <xf numFmtId="0" fontId="0" fillId="0" borderId="24" xfId="0" applyBorder="1" applyAlignment="1">
      <alignment horizontal="center" vertical="center"/>
    </xf>
    <xf numFmtId="0" fontId="0" fillId="0" borderId="25" xfId="0" applyBorder="1" applyAlignment="1">
      <alignment vertical="center"/>
    </xf>
    <xf numFmtId="0" fontId="0" fillId="0" borderId="4" xfId="0" applyBorder="1" applyAlignment="1">
      <alignment vertical="center"/>
    </xf>
    <xf numFmtId="0" fontId="0" fillId="0" borderId="10" xfId="0" applyBorder="1" applyAlignment="1">
      <alignment vertical="center"/>
    </xf>
    <xf numFmtId="0" fontId="2" fillId="2" borderId="13" xfId="0" applyFont="1" applyFill="1" applyBorder="1" applyAlignment="1">
      <alignment horizontal="center" vertical="center"/>
    </xf>
    <xf numFmtId="0" fontId="6" fillId="3" borderId="11" xfId="0" applyFont="1" applyFill="1" applyBorder="1" applyAlignment="1">
      <alignment vertical="center"/>
    </xf>
    <xf numFmtId="0" fontId="2" fillId="2" borderId="13" xfId="0" applyFont="1" applyFill="1" applyBorder="1" applyAlignment="1">
      <alignment horizontal="right" vertical="center"/>
    </xf>
    <xf numFmtId="0" fontId="6" fillId="3" borderId="13" xfId="0" applyFont="1" applyFill="1" applyBorder="1" applyAlignment="1">
      <alignment vertical="center"/>
    </xf>
    <xf numFmtId="0" fontId="12" fillId="3" borderId="19" xfId="0" applyFont="1" applyFill="1" applyBorder="1" applyAlignment="1">
      <alignment horizontal="center" vertical="center"/>
    </xf>
    <xf numFmtId="0" fontId="0" fillId="0" borderId="21" xfId="0" applyBorder="1" applyAlignment="1">
      <alignment horizontal="center" vertical="center"/>
    </xf>
    <xf numFmtId="0" fontId="2" fillId="2" borderId="36" xfId="0" applyFont="1" applyFill="1" applyBorder="1" applyAlignment="1">
      <alignment vertical="center"/>
    </xf>
    <xf numFmtId="0" fontId="2" fillId="2" borderId="13" xfId="0" applyFont="1" applyFill="1" applyBorder="1" applyAlignment="1">
      <alignment vertical="center"/>
    </xf>
    <xf numFmtId="0" fontId="9" fillId="3" borderId="37"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13" xfId="0" applyFont="1" applyFill="1" applyBorder="1" applyAlignment="1">
      <alignment horizontal="center" vertical="center"/>
    </xf>
    <xf numFmtId="0" fontId="14" fillId="2" borderId="19" xfId="0" applyFont="1" applyFill="1" applyBorder="1" applyAlignment="1">
      <alignment vertical="center"/>
    </xf>
    <xf numFmtId="0" fontId="14" fillId="2" borderId="20" xfId="0" applyFont="1" applyFill="1" applyBorder="1" applyAlignment="1">
      <alignment vertical="center"/>
    </xf>
    <xf numFmtId="0" fontId="14" fillId="2" borderId="36" xfId="0" applyFont="1" applyFill="1" applyBorder="1" applyAlignment="1">
      <alignment vertical="center"/>
    </xf>
    <xf numFmtId="0" fontId="14" fillId="2" borderId="39" xfId="0" applyFont="1" applyFill="1" applyBorder="1" applyAlignment="1">
      <alignment vertical="center"/>
    </xf>
    <xf numFmtId="0" fontId="14" fillId="2" borderId="37" xfId="0" applyFont="1" applyFill="1" applyBorder="1" applyAlignment="1">
      <alignment vertical="center"/>
    </xf>
    <xf numFmtId="0" fontId="6" fillId="3" borderId="30" xfId="0" applyFont="1" applyFill="1" applyBorder="1" applyAlignment="1">
      <alignment vertical="center"/>
    </xf>
    <xf numFmtId="0" fontId="6" fillId="3" borderId="46" xfId="0" applyFont="1" applyFill="1" applyBorder="1" applyAlignment="1">
      <alignment vertical="center"/>
    </xf>
    <xf numFmtId="0" fontId="6" fillId="3" borderId="31" xfId="0" applyFont="1" applyFill="1" applyBorder="1" applyAlignment="1">
      <alignmen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F7530"/>
      <rgbColor rgb="FF800080"/>
      <rgbColor rgb="FF276A7C"/>
      <rgbColor rgb="FFBFBFBF"/>
      <rgbColor rgb="FF4F81BD"/>
      <rgbColor rgb="FF93A9CE"/>
      <rgbColor rgb="FFC0504D"/>
      <rgbColor rgb="FFFFF2CC"/>
      <rgbColor rgb="FFF2F2F2"/>
      <rgbColor rgb="FF660066"/>
      <rgbColor rgb="FFFF8080"/>
      <rgbColor rgb="FF2C4D75"/>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FCC99"/>
      <rgbColor rgb="FF3366FF"/>
      <rgbColor rgb="FF4BACC6"/>
      <rgbColor rgb="FF9BBB59"/>
      <rgbColor rgb="FFFFCC00"/>
      <rgbColor rgb="FFF79646"/>
      <rgbColor rgb="FFFF6600"/>
      <rgbColor rgb="FF8064A2"/>
      <rgbColor rgb="FFA6A6A6"/>
      <rgbColor rgb="FF1F4E79"/>
      <rgbColor rgb="FF339966"/>
      <rgbColor rgb="FF003300"/>
      <rgbColor rgb="FF4D3B62"/>
      <rgbColor rgb="FF772C2A"/>
      <rgbColor rgb="FF595959"/>
      <rgbColor rgb="FF1F497D"/>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600" b="0" strike="noStrike" spc="-1">
                <a:solidFill>
                  <a:srgbClr val="000000"/>
                </a:solidFill>
                <a:latin typeface="Calibri"/>
                <a:ea typeface="Calibri"/>
              </a:defRPr>
            </a:pPr>
            <a:r>
              <a:rPr lang="en-US" sz="1600" b="0" strike="noStrike" spc="-1">
                <a:solidFill>
                  <a:srgbClr val="000000"/>
                </a:solidFill>
                <a:latin typeface="Calibri"/>
                <a:ea typeface="Calibri"/>
              </a:rPr>
              <a:t>Composition of Carbon Streams</a:t>
            </a:r>
          </a:p>
        </c:rich>
      </c:tx>
      <c:overlay val="0"/>
      <c:spPr>
        <a:noFill/>
        <a:ln w="0">
          <a:noFill/>
        </a:ln>
      </c:spPr>
    </c:title>
    <c:autoTitleDeleted val="0"/>
    <c:plotArea>
      <c:layout/>
      <c:pieChart>
        <c:varyColors val="1"/>
        <c:ser>
          <c:idx val="0"/>
          <c:order val="0"/>
          <c:tx>
            <c:strRef>
              <c:f>Inputs!$C$5</c:f>
              <c:strCache>
                <c:ptCount val="1"/>
                <c:pt idx="0">
                  <c:v>kg_C/a</c:v>
                </c:pt>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0378-497E-AFA0-0847FD40400F}"/>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0378-497E-AFA0-0847FD40400F}"/>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0378-497E-AFA0-0847FD40400F}"/>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0378-497E-AFA0-0847FD40400F}"/>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0378-497E-AFA0-0847FD40400F}"/>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0378-497E-AFA0-0847FD40400F}"/>
              </c:ext>
            </c:extLst>
          </c:dPt>
          <c:dLbls>
            <c:dLbl>
              <c:idx val="0"/>
              <c:spPr/>
              <c:txPr>
                <a:bodyPr wrap="square"/>
                <a:lstStyle/>
                <a:p>
                  <a:pPr>
                    <a:defRPr sz="12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0378-497E-AFA0-0847FD40400F}"/>
                </c:ext>
              </c:extLst>
            </c:dLbl>
            <c:dLbl>
              <c:idx val="1"/>
              <c:spPr/>
              <c:txPr>
                <a:bodyPr wrap="square"/>
                <a:lstStyle/>
                <a:p>
                  <a:pPr>
                    <a:defRPr sz="12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0378-497E-AFA0-0847FD40400F}"/>
                </c:ext>
              </c:extLst>
            </c:dLbl>
            <c:dLbl>
              <c:idx val="2"/>
              <c:spPr/>
              <c:txPr>
                <a:bodyPr wrap="square"/>
                <a:lstStyle/>
                <a:p>
                  <a:pPr>
                    <a:defRPr sz="12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0378-497E-AFA0-0847FD40400F}"/>
                </c:ext>
              </c:extLst>
            </c:dLbl>
            <c:dLbl>
              <c:idx val="3"/>
              <c:spPr/>
              <c:txPr>
                <a:bodyPr wrap="square"/>
                <a:lstStyle/>
                <a:p>
                  <a:pPr>
                    <a:defRPr sz="12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0378-497E-AFA0-0847FD40400F}"/>
                </c:ext>
              </c:extLst>
            </c:dLbl>
            <c:dLbl>
              <c:idx val="4"/>
              <c:spPr/>
              <c:txPr>
                <a:bodyPr wrap="square"/>
                <a:lstStyle/>
                <a:p>
                  <a:pPr>
                    <a:defRPr sz="12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0378-497E-AFA0-0847FD40400F}"/>
                </c:ext>
              </c:extLst>
            </c:dLbl>
            <c:dLbl>
              <c:idx val="5"/>
              <c:spPr/>
              <c:txPr>
                <a:bodyPr wrap="square"/>
                <a:lstStyle/>
                <a:p>
                  <a:pPr>
                    <a:defRPr sz="12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0378-497E-AFA0-0847FD40400F}"/>
                </c:ext>
              </c:extLst>
            </c:dLbl>
            <c:spPr>
              <a:noFill/>
              <a:ln>
                <a:noFill/>
              </a:ln>
              <a:effectLst/>
            </c:spPr>
            <c:txPr>
              <a:bodyPr wrap="square"/>
              <a:lstStyle/>
              <a:p>
                <a:pPr>
                  <a:defRPr sz="12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Inputs!$A$6:$A$11</c:f>
              <c:strCache>
                <c:ptCount val="6"/>
                <c:pt idx="0">
                  <c:v>CO2</c:v>
                </c:pt>
                <c:pt idx="1">
                  <c:v>Wet_Organics</c:v>
                </c:pt>
                <c:pt idx="2">
                  <c:v>Cellulose</c:v>
                </c:pt>
                <c:pt idx="3">
                  <c:v>Polyesters</c:v>
                </c:pt>
                <c:pt idx="4">
                  <c:v>Polyamides</c:v>
                </c:pt>
                <c:pt idx="5">
                  <c:v>Recalc_Plastics</c:v>
                </c:pt>
              </c:strCache>
            </c:strRef>
          </c:cat>
          <c:val>
            <c:numRef>
              <c:f>Inputs!$C$6:$C$11</c:f>
              <c:numCache>
                <c:formatCode>0.0</c:formatCode>
                <c:ptCount val="6"/>
                <c:pt idx="0">
                  <c:v>568.67499999999995</c:v>
                </c:pt>
                <c:pt idx="1">
                  <c:v>342.79199999999997</c:v>
                </c:pt>
                <c:pt idx="2">
                  <c:v>614.24306000000001</c:v>
                </c:pt>
                <c:pt idx="3">
                  <c:v>225.59205000000003</c:v>
                </c:pt>
                <c:pt idx="4">
                  <c:v>80.54025</c:v>
                </c:pt>
                <c:pt idx="5">
                  <c:v>1637.9109600000002</c:v>
                </c:pt>
              </c:numCache>
            </c:numRef>
          </c:val>
          <c:extLst>
            <c:ext xmlns:c16="http://schemas.microsoft.com/office/drawing/2014/chart" uri="{C3380CC4-5D6E-409C-BE32-E72D297353CC}">
              <c16:uniqueId val="{0000000C-0378-497E-AFA0-0847FD40400F}"/>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1200" b="0" strike="noStrike" spc="-1">
              <a:solidFill>
                <a:srgbClr val="000000"/>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Reactor Volumes [L] (</a:t>
            </a:r>
            <a:r>
              <a:rPr lang="en-AU" sz="1400" b="0" i="0" u="none" strike="noStrike" kern="1200" spc="-1" baseline="0">
                <a:solidFill>
                  <a:srgbClr val="595959"/>
                </a:solidFill>
                <a:latin typeface="Calibri"/>
                <a:ea typeface="Calibri"/>
              </a:rPr>
              <a:t>Baseline</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Theoretical!$C$18</c:f>
              <c:strCache>
                <c:ptCount val="1"/>
                <c:pt idx="0">
                  <c:v>Reactor Vol [L]</c:v>
                </c:pt>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FD5D-4E47-BF9D-B87F46972187}"/>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FD5D-4E47-BF9D-B87F46972187}"/>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FD5D-4E47-BF9D-B87F46972187}"/>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FD5D-4E47-BF9D-B87F46972187}"/>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FD5D-4E47-BF9D-B87F46972187}"/>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FD5D-4E47-BF9D-B87F46972187}"/>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FD5D-4E47-BF9D-B87F46972187}"/>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FD5D-4E47-BF9D-B87F46972187}"/>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FD5D-4E47-BF9D-B87F46972187}"/>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FD5D-4E47-BF9D-B87F46972187}"/>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FD5D-4E47-BF9D-B87F46972187}"/>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FD5D-4E47-BF9D-B87F46972187}"/>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FD5D-4E47-BF9D-B87F46972187}"/>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FD5D-4E47-BF9D-B87F46972187}"/>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FD5D-4E47-BF9D-B87F46972187}"/>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FD5D-4E47-BF9D-B87F46972187}"/>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FD5D-4E47-BF9D-B87F46972187}"/>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FD5D-4E47-BF9D-B87F46972187}"/>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FD5D-4E47-BF9D-B87F46972187}"/>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FD5D-4E47-BF9D-B87F46972187}"/>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FD5D-4E47-BF9D-B87F46972187}"/>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FD5D-4E47-BF9D-B87F46972187}"/>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Theoretical!$A$19:$A$29</c:f>
              <c:strCache>
                <c:ptCount val="11"/>
                <c:pt idx="0">
                  <c:v>CO2 | Photoautotroph (aerobic)</c:v>
                </c:pt>
                <c:pt idx="1">
                  <c:v>CO2 | Lithoautotroph (aerobic)</c:v>
                </c:pt>
                <c:pt idx="2">
                  <c:v>CO | Lithoautotroph (anaerobic)</c:v>
                </c:pt>
                <c:pt idx="3">
                  <c:v>CH4 | Methanotroph (aerobic)</c:v>
                </c:pt>
                <c:pt idx="4">
                  <c:v>VFAs | Heterotroph (aerobic)</c:v>
                </c:pt>
                <c:pt idx="5">
                  <c:v>Wet_Organics | Heterotroph (aerobic)</c:v>
                </c:pt>
                <c:pt idx="6">
                  <c:v>Wet_Organics | Mixotroph (aerobic)</c:v>
                </c:pt>
                <c:pt idx="7">
                  <c:v>Wet_Organics | Heterotroph (anaerobic)</c:v>
                </c:pt>
                <c:pt idx="8">
                  <c:v>Cellulose | Enzymatic</c:v>
                </c:pt>
                <c:pt idx="9">
                  <c:v>Polyesters | Biochemical</c:v>
                </c:pt>
                <c:pt idx="10">
                  <c:v>Polyamides | Biochemical</c:v>
                </c:pt>
              </c:strCache>
            </c:strRef>
          </c:cat>
          <c:val>
            <c:numRef>
              <c:f>Theoretical!$C$19:$C$29</c:f>
              <c:numCache>
                <c:formatCode>0</c:formatCode>
                <c:ptCount val="11"/>
                <c:pt idx="0">
                  <c:v>4664.0914975342457</c:v>
                </c:pt>
                <c:pt idx="1">
                  <c:v>878.39004075209164</c:v>
                </c:pt>
                <c:pt idx="2">
                  <c:v>64.863255477593668</c:v>
                </c:pt>
                <c:pt idx="3">
                  <c:v>726.03181148880026</c:v>
                </c:pt>
                <c:pt idx="4">
                  <c:v>103.65506837852999</c:v>
                </c:pt>
                <c:pt idx="5">
                  <c:v>15.996152527550926</c:v>
                </c:pt>
                <c:pt idx="6">
                  <c:v>5.3320508425169759</c:v>
                </c:pt>
                <c:pt idx="7">
                  <c:v>1690.4810958904109</c:v>
                </c:pt>
                <c:pt idx="8">
                  <c:v>1529.8706351183062</c:v>
                </c:pt>
                <c:pt idx="9">
                  <c:v>1329.1621741051704</c:v>
                </c:pt>
                <c:pt idx="10">
                  <c:v>2372.6690234202383</c:v>
                </c:pt>
              </c:numCache>
            </c:numRef>
          </c:val>
          <c:extLst>
            <c:ext xmlns:c16="http://schemas.microsoft.com/office/drawing/2014/chart" uri="{C3380CC4-5D6E-409C-BE32-E72D297353CC}">
              <c16:uniqueId val="{00000016-FD5D-4E47-BF9D-B87F46972187}"/>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Reactor Volumes [L] (</a:t>
            </a:r>
            <a:r>
              <a:rPr lang="en-AU" sz="1400" b="0" i="0" u="none" strike="noStrike" kern="1200" spc="-1" baseline="0">
                <a:solidFill>
                  <a:srgbClr val="595959"/>
                </a:solidFill>
                <a:latin typeface="Calibri"/>
                <a:ea typeface="Calibri"/>
              </a:rPr>
              <a:t>Aspirational</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Theoretical!$F$18</c:f>
              <c:strCache>
                <c:ptCount val="1"/>
                <c:pt idx="0">
                  <c:v>Reactor Vol [L]</c:v>
                </c:pt>
              </c:strCache>
            </c:strRef>
          </c:tx>
          <c:spPr>
            <a:solidFill>
              <a:srgbClr val="C0504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1388-421F-9522-3C782BC1D5E2}"/>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1388-421F-9522-3C782BC1D5E2}"/>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1388-421F-9522-3C782BC1D5E2}"/>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1388-421F-9522-3C782BC1D5E2}"/>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1388-421F-9522-3C782BC1D5E2}"/>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1388-421F-9522-3C782BC1D5E2}"/>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1388-421F-9522-3C782BC1D5E2}"/>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1388-421F-9522-3C782BC1D5E2}"/>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1388-421F-9522-3C782BC1D5E2}"/>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1388-421F-9522-3C782BC1D5E2}"/>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1388-421F-9522-3C782BC1D5E2}"/>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1388-421F-9522-3C782BC1D5E2}"/>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1388-421F-9522-3C782BC1D5E2}"/>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1388-421F-9522-3C782BC1D5E2}"/>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1388-421F-9522-3C782BC1D5E2}"/>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1388-421F-9522-3C782BC1D5E2}"/>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1388-421F-9522-3C782BC1D5E2}"/>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1388-421F-9522-3C782BC1D5E2}"/>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1388-421F-9522-3C782BC1D5E2}"/>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1388-421F-9522-3C782BC1D5E2}"/>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1388-421F-9522-3C782BC1D5E2}"/>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1388-421F-9522-3C782BC1D5E2}"/>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Theoretical!$A$19:$A$29</c:f>
              <c:strCache>
                <c:ptCount val="11"/>
                <c:pt idx="0">
                  <c:v>CO2 | Photoautotroph (aerobic)</c:v>
                </c:pt>
                <c:pt idx="1">
                  <c:v>CO2 | Lithoautotroph (aerobic)</c:v>
                </c:pt>
                <c:pt idx="2">
                  <c:v>CO | Lithoautotroph (anaerobic)</c:v>
                </c:pt>
                <c:pt idx="3">
                  <c:v>CH4 | Methanotroph (aerobic)</c:v>
                </c:pt>
                <c:pt idx="4">
                  <c:v>VFAs | Heterotroph (aerobic)</c:v>
                </c:pt>
                <c:pt idx="5">
                  <c:v>Wet_Organics | Heterotroph (aerobic)</c:v>
                </c:pt>
                <c:pt idx="6">
                  <c:v>Wet_Organics | Mixotroph (aerobic)</c:v>
                </c:pt>
                <c:pt idx="7">
                  <c:v>Wet_Organics | Heterotroph (anaerobic)</c:v>
                </c:pt>
                <c:pt idx="8">
                  <c:v>Cellulose | Enzymatic</c:v>
                </c:pt>
                <c:pt idx="9">
                  <c:v>Polyesters | Biochemical</c:v>
                </c:pt>
                <c:pt idx="10">
                  <c:v>Polyamides | Biochemical</c:v>
                </c:pt>
              </c:strCache>
            </c:strRef>
          </c:cat>
          <c:val>
            <c:numRef>
              <c:f>Theoretical!$F$19:$F$29</c:f>
              <c:numCache>
                <c:formatCode>0</c:formatCode>
                <c:ptCount val="11"/>
                <c:pt idx="0">
                  <c:v>25.247734352662778</c:v>
                </c:pt>
                <c:pt idx="1">
                  <c:v>24.890753090994593</c:v>
                </c:pt>
                <c:pt idx="2">
                  <c:v>40.507658915840196</c:v>
                </c:pt>
                <c:pt idx="3">
                  <c:v>513.63066450342865</c:v>
                </c:pt>
                <c:pt idx="4">
                  <c:v>17.095888013820044</c:v>
                </c:pt>
                <c:pt idx="5">
                  <c:v>5.9985571978315955</c:v>
                </c:pt>
                <c:pt idx="6">
                  <c:v>17.995671593494787</c:v>
                </c:pt>
                <c:pt idx="7">
                  <c:v>234.78904109589041</c:v>
                </c:pt>
                <c:pt idx="8">
                  <c:v>210.25776608804981</c:v>
                </c:pt>
                <c:pt idx="9">
                  <c:v>82.353591619263014</c:v>
                </c:pt>
                <c:pt idx="10">
                  <c:v>147.00825799077023</c:v>
                </c:pt>
              </c:numCache>
            </c:numRef>
          </c:val>
          <c:extLst>
            <c:ext xmlns:c16="http://schemas.microsoft.com/office/drawing/2014/chart" uri="{C3380CC4-5D6E-409C-BE32-E72D297353CC}">
              <c16:uniqueId val="{00000016-1388-421F-9522-3C782BC1D5E2}"/>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Total Biomass [kg/a] (</a:t>
            </a:r>
            <a:r>
              <a:rPr lang="en-AU" sz="1400" b="0" i="0" u="none" strike="noStrike" kern="1200" spc="-1" baseline="0">
                <a:solidFill>
                  <a:srgbClr val="595959"/>
                </a:solidFill>
                <a:latin typeface="Calibri"/>
                <a:ea typeface="Calibri"/>
              </a:rPr>
              <a:t>Baseline</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Theoretical!$D$18</c:f>
              <c:strCache>
                <c:ptCount val="1"/>
                <c:pt idx="0">
                  <c:v>Biomass [kg/a]</c:v>
                </c:pt>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C497-4A50-89A5-DB19009E5985}"/>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C497-4A50-89A5-DB19009E5985}"/>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C497-4A50-89A5-DB19009E5985}"/>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C497-4A50-89A5-DB19009E5985}"/>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C497-4A50-89A5-DB19009E5985}"/>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C497-4A50-89A5-DB19009E5985}"/>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C497-4A50-89A5-DB19009E5985}"/>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C497-4A50-89A5-DB19009E5985}"/>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C497-4A50-89A5-DB19009E5985}"/>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C497-4A50-89A5-DB19009E5985}"/>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C497-4A50-89A5-DB19009E5985}"/>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C497-4A50-89A5-DB19009E5985}"/>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C497-4A50-89A5-DB19009E5985}"/>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C497-4A50-89A5-DB19009E5985}"/>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C497-4A50-89A5-DB19009E5985}"/>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C497-4A50-89A5-DB19009E5985}"/>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C497-4A50-89A5-DB19009E5985}"/>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C497-4A50-89A5-DB19009E5985}"/>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C497-4A50-89A5-DB19009E5985}"/>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C497-4A50-89A5-DB19009E5985}"/>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C497-4A50-89A5-DB19009E5985}"/>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C497-4A50-89A5-DB19009E5985}"/>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Theoretical!$A$19:$A$29</c:f>
              <c:strCache>
                <c:ptCount val="11"/>
                <c:pt idx="0">
                  <c:v>CO2 | Photoautotroph (aerobic)</c:v>
                </c:pt>
                <c:pt idx="1">
                  <c:v>CO2 | Lithoautotroph (aerobic)</c:v>
                </c:pt>
                <c:pt idx="2">
                  <c:v>CO | Lithoautotroph (anaerobic)</c:v>
                </c:pt>
                <c:pt idx="3">
                  <c:v>CH4 | Methanotroph (aerobic)</c:v>
                </c:pt>
                <c:pt idx="4">
                  <c:v>VFAs | Heterotroph (aerobic)</c:v>
                </c:pt>
                <c:pt idx="5">
                  <c:v>Wet_Organics | Heterotroph (aerobic)</c:v>
                </c:pt>
                <c:pt idx="6">
                  <c:v>Wet_Organics | Mixotroph (aerobic)</c:v>
                </c:pt>
                <c:pt idx="7">
                  <c:v>Wet_Organics | Heterotroph (anaerobic)</c:v>
                </c:pt>
                <c:pt idx="8">
                  <c:v>Cellulose | Enzymatic</c:v>
                </c:pt>
                <c:pt idx="9">
                  <c:v>Polyesters | Biochemical</c:v>
                </c:pt>
                <c:pt idx="10">
                  <c:v>Polyamides | Biochemical</c:v>
                </c:pt>
              </c:strCache>
            </c:strRef>
          </c:cat>
          <c:val>
            <c:numRef>
              <c:f>Theoretical!$D$19:$D$29</c:f>
              <c:numCache>
                <c:formatCode>0</c:formatCode>
                <c:ptCount val="11"/>
                <c:pt idx="0">
                  <c:v>279.29891662968748</c:v>
                </c:pt>
                <c:pt idx="1">
                  <c:v>103.17535736969697</c:v>
                </c:pt>
                <c:pt idx="2">
                  <c:v>10.599969294339617</c:v>
                </c:pt>
                <c:pt idx="3">
                  <c:v>350.70637019901648</c:v>
                </c:pt>
                <c:pt idx="4">
                  <c:v>150.21033049180329</c:v>
                </c:pt>
                <c:pt idx="5">
                  <c:v>23.180606557377054</c:v>
                </c:pt>
                <c:pt idx="6">
                  <c:v>8.8858991803278702</c:v>
                </c:pt>
                <c:pt idx="7">
                  <c:v>0</c:v>
                </c:pt>
                <c:pt idx="8">
                  <c:v>511.86921666666672</c:v>
                </c:pt>
                <c:pt idx="9">
                  <c:v>187.99337500000004</c:v>
                </c:pt>
                <c:pt idx="10">
                  <c:v>67.116875000000007</c:v>
                </c:pt>
              </c:numCache>
            </c:numRef>
          </c:val>
          <c:extLst>
            <c:ext xmlns:c16="http://schemas.microsoft.com/office/drawing/2014/chart" uri="{C3380CC4-5D6E-409C-BE32-E72D297353CC}">
              <c16:uniqueId val="{00000016-C497-4A50-89A5-DB19009E5985}"/>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Total Biomass [kg/a] (Aspirational)</a:t>
            </a:r>
          </a:p>
        </c:rich>
      </c:tx>
      <c:overlay val="0"/>
      <c:spPr>
        <a:noFill/>
        <a:ln w="0">
          <a:noFill/>
        </a:ln>
      </c:spPr>
    </c:title>
    <c:autoTitleDeleted val="0"/>
    <c:plotArea>
      <c:layout/>
      <c:pieChart>
        <c:varyColors val="1"/>
        <c:ser>
          <c:idx val="0"/>
          <c:order val="0"/>
          <c:tx>
            <c:strRef>
              <c:f>Theoretical!$G$18</c:f>
              <c:strCache>
                <c:ptCount val="1"/>
                <c:pt idx="0">
                  <c:v>Biomass [kg/a]</c:v>
                </c:pt>
              </c:strCache>
            </c:strRef>
          </c:tx>
          <c:spPr>
            <a:solidFill>
              <a:srgbClr val="C0504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E951-4550-B0C9-69FD65800C72}"/>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E951-4550-B0C9-69FD65800C72}"/>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E951-4550-B0C9-69FD65800C72}"/>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E951-4550-B0C9-69FD65800C72}"/>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E951-4550-B0C9-69FD65800C72}"/>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E951-4550-B0C9-69FD65800C72}"/>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E951-4550-B0C9-69FD65800C72}"/>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E951-4550-B0C9-69FD65800C72}"/>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E951-4550-B0C9-69FD65800C72}"/>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E951-4550-B0C9-69FD65800C72}"/>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E951-4550-B0C9-69FD65800C72}"/>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E951-4550-B0C9-69FD65800C72}"/>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E951-4550-B0C9-69FD65800C72}"/>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E951-4550-B0C9-69FD65800C72}"/>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E951-4550-B0C9-69FD65800C72}"/>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E951-4550-B0C9-69FD65800C72}"/>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E951-4550-B0C9-69FD65800C72}"/>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E951-4550-B0C9-69FD65800C72}"/>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E951-4550-B0C9-69FD65800C72}"/>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E951-4550-B0C9-69FD65800C72}"/>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E951-4550-B0C9-69FD65800C72}"/>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E951-4550-B0C9-69FD65800C72}"/>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Theoretical!$A$19:$A$29</c:f>
              <c:strCache>
                <c:ptCount val="11"/>
                <c:pt idx="0">
                  <c:v>CO2 | Photoautotroph (aerobic)</c:v>
                </c:pt>
                <c:pt idx="1">
                  <c:v>CO2 | Lithoautotroph (aerobic)</c:v>
                </c:pt>
                <c:pt idx="2">
                  <c:v>CO | Lithoautotroph (anaerobic)</c:v>
                </c:pt>
                <c:pt idx="3">
                  <c:v>CH4 | Methanotroph (aerobic)</c:v>
                </c:pt>
                <c:pt idx="4">
                  <c:v>VFAs | Heterotroph (aerobic)</c:v>
                </c:pt>
                <c:pt idx="5">
                  <c:v>Wet_Organics | Heterotroph (aerobic)</c:v>
                </c:pt>
                <c:pt idx="6">
                  <c:v>Wet_Organics | Mixotroph (aerobic)</c:v>
                </c:pt>
                <c:pt idx="7">
                  <c:v>Wet_Organics | Heterotroph (anaerobic)</c:v>
                </c:pt>
                <c:pt idx="8">
                  <c:v>Cellulose | Enzymatic</c:v>
                </c:pt>
                <c:pt idx="9">
                  <c:v>Polyesters | Biochemical</c:v>
                </c:pt>
                <c:pt idx="10">
                  <c:v>Polyamides | Biochemical</c:v>
                </c:pt>
              </c:strCache>
            </c:strRef>
          </c:cat>
          <c:val>
            <c:numRef>
              <c:f>Theoretical!$G$19:$G$29</c:f>
              <c:numCache>
                <c:formatCode>0</c:formatCode>
                <c:ptCount val="11"/>
                <c:pt idx="0">
                  <c:v>12.27576874934225</c:v>
                </c:pt>
                <c:pt idx="1">
                  <c:v>36.827306248026751</c:v>
                </c:pt>
                <c:pt idx="2">
                  <c:v>115.50548089919999</c:v>
                </c:pt>
                <c:pt idx="3">
                  <c:v>1514.1804303780846</c:v>
                </c:pt>
                <c:pt idx="4">
                  <c:v>125.99646428571428</c:v>
                </c:pt>
                <c:pt idx="5">
                  <c:v>44.209285714285713</c:v>
                </c:pt>
                <c:pt idx="6">
                  <c:v>179.04760714285717</c:v>
                </c:pt>
                <c:pt idx="7">
                  <c:v>0</c:v>
                </c:pt>
                <c:pt idx="8">
                  <c:v>594.42876774193542</c:v>
                </c:pt>
                <c:pt idx="9">
                  <c:v>218.31488709677421</c:v>
                </c:pt>
                <c:pt idx="10">
                  <c:v>77.942177419354834</c:v>
                </c:pt>
              </c:numCache>
            </c:numRef>
          </c:val>
          <c:extLst>
            <c:ext xmlns:c16="http://schemas.microsoft.com/office/drawing/2014/chart" uri="{C3380CC4-5D6E-409C-BE32-E72D297353CC}">
              <c16:uniqueId val="{00000016-E951-4550-B0C9-69FD65800C72}"/>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Theoretical!$A$19</c:f>
              <c:strCache>
                <c:ptCount val="1"/>
                <c:pt idx="0">
                  <c:v>CO2 | Photoautotroph (aerobic)</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(Theoretical!$C$19,Theoretical!$F$19)</c:f>
              <c:numCache>
                <c:formatCode>0</c:formatCode>
                <c:ptCount val="2"/>
                <c:pt idx="0">
                  <c:v>4664.0914975342457</c:v>
                </c:pt>
                <c:pt idx="1">
                  <c:v>25.247734352662778</c:v>
                </c:pt>
              </c:numCache>
            </c:numRef>
          </c:val>
          <c:extLst>
            <c:ext xmlns:c16="http://schemas.microsoft.com/office/drawing/2014/chart" uri="{C3380CC4-5D6E-409C-BE32-E72D297353CC}">
              <c16:uniqueId val="{00000000-37F6-4684-808B-4A30A4D6402A}"/>
            </c:ext>
          </c:extLst>
        </c:ser>
        <c:ser>
          <c:idx val="1"/>
          <c:order val="1"/>
          <c:tx>
            <c:strRef>
              <c:f>Theoretical!$A$20</c:f>
              <c:strCache>
                <c:ptCount val="1"/>
                <c:pt idx="0">
                  <c:v>CO2 | Lithoautotroph (aerobic)</c:v>
                </c:pt>
              </c:strCache>
            </c:strRef>
          </c:tx>
          <c:spPr>
            <a:solidFill>
              <a:srgbClr val="C0504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(Theoretical!$C$20,Theoretical!$F$20)</c:f>
              <c:numCache>
                <c:formatCode>0</c:formatCode>
                <c:ptCount val="2"/>
                <c:pt idx="0">
                  <c:v>878.39004075209164</c:v>
                </c:pt>
                <c:pt idx="1">
                  <c:v>24.890753090994593</c:v>
                </c:pt>
              </c:numCache>
            </c:numRef>
          </c:val>
          <c:extLst>
            <c:ext xmlns:c16="http://schemas.microsoft.com/office/drawing/2014/chart" uri="{C3380CC4-5D6E-409C-BE32-E72D297353CC}">
              <c16:uniqueId val="{00000001-37F6-4684-808B-4A30A4D6402A}"/>
            </c:ext>
          </c:extLst>
        </c:ser>
        <c:ser>
          <c:idx val="2"/>
          <c:order val="2"/>
          <c:tx>
            <c:strRef>
              <c:f>Theoretical!$A$21</c:f>
              <c:strCache>
                <c:ptCount val="1"/>
                <c:pt idx="0">
                  <c:v>CO | Lithoautotroph (anaerobic)</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(Theoretical!$C$21,Theoretical!$F$21)</c:f>
              <c:numCache>
                <c:formatCode>0</c:formatCode>
                <c:ptCount val="2"/>
                <c:pt idx="0">
                  <c:v>64.863255477593668</c:v>
                </c:pt>
                <c:pt idx="1">
                  <c:v>40.507658915840196</c:v>
                </c:pt>
              </c:numCache>
            </c:numRef>
          </c:val>
          <c:extLst>
            <c:ext xmlns:c16="http://schemas.microsoft.com/office/drawing/2014/chart" uri="{C3380CC4-5D6E-409C-BE32-E72D297353CC}">
              <c16:uniqueId val="{00000002-37F6-4684-808B-4A30A4D6402A}"/>
            </c:ext>
          </c:extLst>
        </c:ser>
        <c:ser>
          <c:idx val="3"/>
          <c:order val="3"/>
          <c:tx>
            <c:strRef>
              <c:f>Theoretical!$A$22</c:f>
              <c:strCache>
                <c:ptCount val="1"/>
                <c:pt idx="0">
                  <c:v>CH4 | Methanotroph (aerobic)</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(Theoretical!$C$22,Theoretical!$F$22)</c:f>
              <c:numCache>
                <c:formatCode>0</c:formatCode>
                <c:ptCount val="2"/>
                <c:pt idx="0">
                  <c:v>726.03181148880026</c:v>
                </c:pt>
                <c:pt idx="1">
                  <c:v>513.63066450342865</c:v>
                </c:pt>
              </c:numCache>
            </c:numRef>
          </c:val>
          <c:extLst>
            <c:ext xmlns:c16="http://schemas.microsoft.com/office/drawing/2014/chart" uri="{C3380CC4-5D6E-409C-BE32-E72D297353CC}">
              <c16:uniqueId val="{00000003-37F6-4684-808B-4A30A4D6402A}"/>
            </c:ext>
          </c:extLst>
        </c:ser>
        <c:ser>
          <c:idx val="4"/>
          <c:order val="4"/>
          <c:tx>
            <c:strRef>
              <c:f>Theoretical!$A$23</c:f>
              <c:strCache>
                <c:ptCount val="1"/>
                <c:pt idx="0">
                  <c:v>VFAs | Heterotroph (aerobic)</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(Theoretical!$C$23,Theoretical!$F$23)</c:f>
              <c:numCache>
                <c:formatCode>0</c:formatCode>
                <c:ptCount val="2"/>
                <c:pt idx="0">
                  <c:v>103.65506837852999</c:v>
                </c:pt>
                <c:pt idx="1">
                  <c:v>17.095888013820044</c:v>
                </c:pt>
              </c:numCache>
            </c:numRef>
          </c:val>
          <c:extLst>
            <c:ext xmlns:c16="http://schemas.microsoft.com/office/drawing/2014/chart" uri="{C3380CC4-5D6E-409C-BE32-E72D297353CC}">
              <c16:uniqueId val="{00000004-37F6-4684-808B-4A30A4D6402A}"/>
            </c:ext>
          </c:extLst>
        </c:ser>
        <c:ser>
          <c:idx val="5"/>
          <c:order val="5"/>
          <c:tx>
            <c:strRef>
              <c:f>Theoretical!$A$24</c:f>
              <c:strCache>
                <c:ptCount val="1"/>
                <c:pt idx="0">
                  <c:v>Wet_Organics | Heterotroph (aerobic)</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(Theoretical!$C$24,Theoretical!$F$24)</c:f>
              <c:numCache>
                <c:formatCode>0</c:formatCode>
                <c:ptCount val="2"/>
                <c:pt idx="0">
                  <c:v>15.996152527550926</c:v>
                </c:pt>
                <c:pt idx="1">
                  <c:v>5.9985571978315955</c:v>
                </c:pt>
              </c:numCache>
            </c:numRef>
          </c:val>
          <c:extLst>
            <c:ext xmlns:c16="http://schemas.microsoft.com/office/drawing/2014/chart" uri="{C3380CC4-5D6E-409C-BE32-E72D297353CC}">
              <c16:uniqueId val="{00000005-37F6-4684-808B-4A30A4D6402A}"/>
            </c:ext>
          </c:extLst>
        </c:ser>
        <c:ser>
          <c:idx val="6"/>
          <c:order val="6"/>
          <c:tx>
            <c:strRef>
              <c:f>Theoretical!$A$25</c:f>
              <c:strCache>
                <c:ptCount val="1"/>
                <c:pt idx="0">
                  <c:v>Wet_Organics | Mixotroph (aerobic)</c:v>
                </c:pt>
              </c:strCache>
            </c:strRef>
          </c:tx>
          <c:spPr>
            <a:solidFill>
              <a:srgbClr val="2C4D75"/>
            </a:solidFill>
            <a:ln w="0">
              <a:noFill/>
            </a:ln>
          </c:spPr>
          <c:invertIfNegative val="0"/>
          <c:dPt>
            <c:idx val="0"/>
            <c:invertIfNegative val="0"/>
            <c:bubble3D val="0"/>
            <c:spPr>
              <a:solidFill>
                <a:srgbClr val="93A9CE"/>
              </a:solidFill>
              <a:ln w="0">
                <a:noFill/>
              </a:ln>
            </c:spPr>
            <c:extLst>
              <c:ext xmlns:c16="http://schemas.microsoft.com/office/drawing/2014/chart" uri="{C3380CC4-5D6E-409C-BE32-E72D297353CC}">
                <c16:uniqueId val="{00000007-37F6-4684-808B-4A30A4D6402A}"/>
              </c:ext>
            </c:extLst>
          </c:dPt>
          <c:dLbls>
            <c:dLbl>
              <c:idx val="0"/>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37F6-4684-808B-4A30A4D6402A}"/>
                </c:ext>
              </c:extLst>
            </c:dLbl>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(Theoretical!$C$25,Theoretical!$F$25)</c:f>
              <c:numCache>
                <c:formatCode>0</c:formatCode>
                <c:ptCount val="2"/>
                <c:pt idx="0">
                  <c:v>5.3320508425169759</c:v>
                </c:pt>
                <c:pt idx="1">
                  <c:v>17.995671593494787</c:v>
                </c:pt>
              </c:numCache>
            </c:numRef>
          </c:val>
          <c:extLst>
            <c:ext xmlns:c16="http://schemas.microsoft.com/office/drawing/2014/chart" uri="{C3380CC4-5D6E-409C-BE32-E72D297353CC}">
              <c16:uniqueId val="{00000008-37F6-4684-808B-4A30A4D6402A}"/>
            </c:ext>
          </c:extLst>
        </c:ser>
        <c:ser>
          <c:idx val="7"/>
          <c:order val="7"/>
          <c:tx>
            <c:strRef>
              <c:f>Theoretical!$A$27</c:f>
              <c:strCache>
                <c:ptCount val="1"/>
                <c:pt idx="0">
                  <c:v>Cellulose | Enzymatic</c:v>
                </c:pt>
              </c:strCache>
            </c:strRef>
          </c:tx>
          <c:spPr>
            <a:solidFill>
              <a:srgbClr val="5F7530"/>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(Theoretical!$C$27,Theoretical!$F$27)</c:f>
              <c:numCache>
                <c:formatCode>0</c:formatCode>
                <c:ptCount val="2"/>
                <c:pt idx="0">
                  <c:v>1529.8706351183062</c:v>
                </c:pt>
                <c:pt idx="1">
                  <c:v>210.25776608804981</c:v>
                </c:pt>
              </c:numCache>
            </c:numRef>
          </c:val>
          <c:extLst>
            <c:ext xmlns:c16="http://schemas.microsoft.com/office/drawing/2014/chart" uri="{C3380CC4-5D6E-409C-BE32-E72D297353CC}">
              <c16:uniqueId val="{00000009-37F6-4684-808B-4A30A4D6402A}"/>
            </c:ext>
          </c:extLst>
        </c:ser>
        <c:ser>
          <c:idx val="8"/>
          <c:order val="8"/>
          <c:tx>
            <c:strRef>
              <c:f>Theoretical!$A$28</c:f>
              <c:strCache>
                <c:ptCount val="1"/>
                <c:pt idx="0">
                  <c:v>Polyesters | Biochemical</c:v>
                </c:pt>
              </c:strCache>
            </c:strRef>
          </c:tx>
          <c:spPr>
            <a:solidFill>
              <a:srgbClr val="4D3B6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(Theoretical!$C$28,Theoretical!$F$28)</c:f>
              <c:numCache>
                <c:formatCode>0</c:formatCode>
                <c:ptCount val="2"/>
                <c:pt idx="0">
                  <c:v>1329.1621741051704</c:v>
                </c:pt>
                <c:pt idx="1">
                  <c:v>82.353591619263014</c:v>
                </c:pt>
              </c:numCache>
            </c:numRef>
          </c:val>
          <c:extLst>
            <c:ext xmlns:c16="http://schemas.microsoft.com/office/drawing/2014/chart" uri="{C3380CC4-5D6E-409C-BE32-E72D297353CC}">
              <c16:uniqueId val="{0000000A-37F6-4684-808B-4A30A4D6402A}"/>
            </c:ext>
          </c:extLst>
        </c:ser>
        <c:ser>
          <c:idx val="9"/>
          <c:order val="9"/>
          <c:tx>
            <c:strRef>
              <c:f>Theoretical!$A$29</c:f>
              <c:strCache>
                <c:ptCount val="1"/>
                <c:pt idx="0">
                  <c:v>Polyamides | Biochemical</c:v>
                </c:pt>
              </c:strCache>
            </c:strRef>
          </c:tx>
          <c:spPr>
            <a:solidFill>
              <a:srgbClr val="276A7C"/>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(Theoretical!$C$29,Theoretical!$F$29)</c:f>
              <c:numCache>
                <c:formatCode>0</c:formatCode>
                <c:ptCount val="2"/>
                <c:pt idx="0">
                  <c:v>2372.6690234202383</c:v>
                </c:pt>
                <c:pt idx="1">
                  <c:v>147.00825799077023</c:v>
                </c:pt>
              </c:numCache>
            </c:numRef>
          </c:val>
          <c:extLst>
            <c:ext xmlns:c16="http://schemas.microsoft.com/office/drawing/2014/chart" uri="{C3380CC4-5D6E-409C-BE32-E72D297353CC}">
              <c16:uniqueId val="{0000000B-37F6-4684-808B-4A30A4D6402A}"/>
            </c:ext>
          </c:extLst>
        </c:ser>
        <c:dLbls>
          <c:showLegendKey val="0"/>
          <c:showVal val="0"/>
          <c:showCatName val="0"/>
          <c:showSerName val="0"/>
          <c:showPercent val="0"/>
          <c:showBubbleSize val="0"/>
        </c:dLbls>
        <c:gapWidth val="150"/>
        <c:overlap val="100"/>
        <c:axId val="19790934"/>
        <c:axId val="70355045"/>
      </c:barChart>
      <c:catAx>
        <c:axId val="1979093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000" b="1" strike="noStrike" spc="-1">
                <a:solidFill>
                  <a:srgbClr val="595959"/>
                </a:solidFill>
                <a:latin typeface="Calibri"/>
                <a:ea typeface="Calibri"/>
              </a:defRPr>
            </a:pPr>
            <a:endParaRPr lang="en-US"/>
          </a:p>
        </c:txPr>
        <c:crossAx val="70355045"/>
        <c:crosses val="autoZero"/>
        <c:auto val="1"/>
        <c:lblAlgn val="ctr"/>
        <c:lblOffset val="100"/>
        <c:noMultiLvlLbl val="0"/>
      </c:catAx>
      <c:valAx>
        <c:axId val="70355045"/>
        <c:scaling>
          <c:orientation val="minMax"/>
        </c:scaling>
        <c:delete val="0"/>
        <c:axPos val="l"/>
        <c:majorGridlines>
          <c:spPr>
            <a:ln w="6480">
              <a:solidFill>
                <a:srgbClr val="D9D9D9"/>
              </a:solidFill>
              <a:round/>
            </a:ln>
          </c:spPr>
        </c:majorGridlines>
        <c:title>
          <c:tx>
            <c:rich>
              <a:bodyPr rot="-5400000"/>
              <a:lstStyle/>
              <a:p>
                <a:pPr>
                  <a:defRPr lang="en-AU" sz="1000" b="1" strike="noStrike" spc="-1">
                    <a:solidFill>
                      <a:srgbClr val="595959"/>
                    </a:solidFill>
                    <a:latin typeface="Calibri"/>
                    <a:ea typeface="Calibri"/>
                  </a:defRPr>
                </a:pPr>
                <a:r>
                  <a:rPr lang="en-AU" sz="1000" b="1" strike="noStrike" spc="-1">
                    <a:solidFill>
                      <a:srgbClr val="595959"/>
                    </a:solidFill>
                    <a:latin typeface="Calibri"/>
                    <a:ea typeface="Calibri"/>
                  </a:rPr>
                  <a:t>Reactor Volume [L]</a:t>
                </a:r>
              </a:p>
            </c:rich>
          </c:tx>
          <c:overlay val="0"/>
          <c:spPr>
            <a:noFill/>
            <a:ln w="0">
              <a:noFill/>
            </a:ln>
          </c:spPr>
        </c:title>
        <c:numFmt formatCode="0" sourceLinked="0"/>
        <c:majorTickMark val="none"/>
        <c:minorTickMark val="none"/>
        <c:tickLblPos val="nextTo"/>
        <c:spPr>
          <a:ln w="9360">
            <a:noFill/>
          </a:ln>
        </c:spPr>
        <c:txPr>
          <a:bodyPr/>
          <a:lstStyle/>
          <a:p>
            <a:pPr>
              <a:defRPr sz="1000" b="0" strike="noStrike" spc="-1">
                <a:solidFill>
                  <a:srgbClr val="595959"/>
                </a:solidFill>
                <a:latin typeface="Calibri"/>
                <a:ea typeface="Calibri"/>
              </a:defRPr>
            </a:pPr>
            <a:endParaRPr lang="en-US"/>
          </a:p>
        </c:txPr>
        <c:crossAx val="19790934"/>
        <c:crosses val="autoZero"/>
        <c:crossBetween val="between"/>
      </c:valAx>
      <c:spPr>
        <a:noFill/>
        <a:ln w="0">
          <a:noFill/>
        </a:ln>
      </c:spPr>
    </c:plotArea>
    <c:legend>
      <c:legendPos val="b"/>
      <c:overlay val="0"/>
      <c:spPr>
        <a:noFill/>
        <a:ln w="0">
          <a:noFill/>
        </a:ln>
      </c:spPr>
      <c:txPr>
        <a:bodyPr/>
        <a:lstStyle/>
        <a:p>
          <a:pPr>
            <a:defRPr sz="10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Theoretical!$A$19</c:f>
              <c:strCache>
                <c:ptCount val="1"/>
                <c:pt idx="0">
                  <c:v>CO2 | Photoautotroph (aerobic)</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(Theoretical!$D$19,Theoretical!$G$19)</c:f>
              <c:numCache>
                <c:formatCode>0</c:formatCode>
                <c:ptCount val="2"/>
                <c:pt idx="0">
                  <c:v>279.29891662968748</c:v>
                </c:pt>
                <c:pt idx="1">
                  <c:v>12.27576874934225</c:v>
                </c:pt>
              </c:numCache>
            </c:numRef>
          </c:val>
          <c:extLst>
            <c:ext xmlns:c16="http://schemas.microsoft.com/office/drawing/2014/chart" uri="{C3380CC4-5D6E-409C-BE32-E72D297353CC}">
              <c16:uniqueId val="{00000000-D315-47AA-BBAC-69BC95581C39}"/>
            </c:ext>
          </c:extLst>
        </c:ser>
        <c:ser>
          <c:idx val="1"/>
          <c:order val="1"/>
          <c:tx>
            <c:strRef>
              <c:f>Theoretical!$A$20</c:f>
              <c:strCache>
                <c:ptCount val="1"/>
                <c:pt idx="0">
                  <c:v>CO2 | Lithoautotroph (aerobic)</c:v>
                </c:pt>
              </c:strCache>
            </c:strRef>
          </c:tx>
          <c:spPr>
            <a:solidFill>
              <a:srgbClr val="C0504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(Theoretical!$D$20,Theoretical!$G$20)</c:f>
              <c:numCache>
                <c:formatCode>0</c:formatCode>
                <c:ptCount val="2"/>
                <c:pt idx="0">
                  <c:v>103.17535736969697</c:v>
                </c:pt>
                <c:pt idx="1">
                  <c:v>36.827306248026751</c:v>
                </c:pt>
              </c:numCache>
            </c:numRef>
          </c:val>
          <c:extLst>
            <c:ext xmlns:c16="http://schemas.microsoft.com/office/drawing/2014/chart" uri="{C3380CC4-5D6E-409C-BE32-E72D297353CC}">
              <c16:uniqueId val="{00000001-D315-47AA-BBAC-69BC95581C39}"/>
            </c:ext>
          </c:extLst>
        </c:ser>
        <c:ser>
          <c:idx val="2"/>
          <c:order val="2"/>
          <c:tx>
            <c:strRef>
              <c:f>Theoretical!$A$21</c:f>
              <c:strCache>
                <c:ptCount val="1"/>
                <c:pt idx="0">
                  <c:v>CO | Lithoautotroph (anaerobic)</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(Theoretical!$D$21,Theoretical!$G$21)</c:f>
              <c:numCache>
                <c:formatCode>0</c:formatCode>
                <c:ptCount val="2"/>
                <c:pt idx="0">
                  <c:v>10.599969294339617</c:v>
                </c:pt>
                <c:pt idx="1">
                  <c:v>115.50548089919999</c:v>
                </c:pt>
              </c:numCache>
            </c:numRef>
          </c:val>
          <c:extLst>
            <c:ext xmlns:c16="http://schemas.microsoft.com/office/drawing/2014/chart" uri="{C3380CC4-5D6E-409C-BE32-E72D297353CC}">
              <c16:uniqueId val="{00000002-D315-47AA-BBAC-69BC95581C39}"/>
            </c:ext>
          </c:extLst>
        </c:ser>
        <c:ser>
          <c:idx val="3"/>
          <c:order val="3"/>
          <c:tx>
            <c:strRef>
              <c:f>Theoretical!$A$22</c:f>
              <c:strCache>
                <c:ptCount val="1"/>
                <c:pt idx="0">
                  <c:v>CH4 | Methanotroph (aerobic)</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(Theoretical!$D$22,Theoretical!$G$22)</c:f>
              <c:numCache>
                <c:formatCode>0</c:formatCode>
                <c:ptCount val="2"/>
                <c:pt idx="0">
                  <c:v>350.70637019901648</c:v>
                </c:pt>
                <c:pt idx="1">
                  <c:v>1514.1804303780846</c:v>
                </c:pt>
              </c:numCache>
            </c:numRef>
          </c:val>
          <c:extLst>
            <c:ext xmlns:c16="http://schemas.microsoft.com/office/drawing/2014/chart" uri="{C3380CC4-5D6E-409C-BE32-E72D297353CC}">
              <c16:uniqueId val="{00000003-D315-47AA-BBAC-69BC95581C39}"/>
            </c:ext>
          </c:extLst>
        </c:ser>
        <c:ser>
          <c:idx val="4"/>
          <c:order val="4"/>
          <c:tx>
            <c:strRef>
              <c:f>Theoretical!$A$23</c:f>
              <c:strCache>
                <c:ptCount val="1"/>
                <c:pt idx="0">
                  <c:v>VFAs | Heterotroph (aerobic)</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(Theoretical!$D$23,Theoretical!$G$23)</c:f>
              <c:numCache>
                <c:formatCode>0</c:formatCode>
                <c:ptCount val="2"/>
                <c:pt idx="0">
                  <c:v>150.21033049180329</c:v>
                </c:pt>
                <c:pt idx="1">
                  <c:v>125.99646428571428</c:v>
                </c:pt>
              </c:numCache>
            </c:numRef>
          </c:val>
          <c:extLst>
            <c:ext xmlns:c16="http://schemas.microsoft.com/office/drawing/2014/chart" uri="{C3380CC4-5D6E-409C-BE32-E72D297353CC}">
              <c16:uniqueId val="{00000004-D315-47AA-BBAC-69BC95581C39}"/>
            </c:ext>
          </c:extLst>
        </c:ser>
        <c:ser>
          <c:idx val="5"/>
          <c:order val="5"/>
          <c:tx>
            <c:strRef>
              <c:f>Theoretical!$A$24</c:f>
              <c:strCache>
                <c:ptCount val="1"/>
                <c:pt idx="0">
                  <c:v>Wet_Organics | Heterotroph (aerobic)</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(Theoretical!$D$24,Theoretical!$G$24)</c:f>
              <c:numCache>
                <c:formatCode>0</c:formatCode>
                <c:ptCount val="2"/>
                <c:pt idx="0">
                  <c:v>23.180606557377054</c:v>
                </c:pt>
                <c:pt idx="1">
                  <c:v>44.209285714285713</c:v>
                </c:pt>
              </c:numCache>
            </c:numRef>
          </c:val>
          <c:extLst>
            <c:ext xmlns:c16="http://schemas.microsoft.com/office/drawing/2014/chart" uri="{C3380CC4-5D6E-409C-BE32-E72D297353CC}">
              <c16:uniqueId val="{00000005-D315-47AA-BBAC-69BC95581C39}"/>
            </c:ext>
          </c:extLst>
        </c:ser>
        <c:ser>
          <c:idx val="6"/>
          <c:order val="6"/>
          <c:tx>
            <c:strRef>
              <c:f>Theoretical!$A$25</c:f>
              <c:strCache>
                <c:ptCount val="1"/>
                <c:pt idx="0">
                  <c:v>Wet_Organics | Mixotroph (aerobic)</c:v>
                </c:pt>
              </c:strCache>
            </c:strRef>
          </c:tx>
          <c:spPr>
            <a:solidFill>
              <a:srgbClr val="2C4D75"/>
            </a:solidFill>
            <a:ln w="0">
              <a:noFill/>
            </a:ln>
          </c:spPr>
          <c:invertIfNegative val="0"/>
          <c:dPt>
            <c:idx val="0"/>
            <c:invertIfNegative val="0"/>
            <c:bubble3D val="0"/>
            <c:spPr>
              <a:solidFill>
                <a:srgbClr val="93A9CE"/>
              </a:solidFill>
              <a:ln w="0">
                <a:noFill/>
              </a:ln>
            </c:spPr>
            <c:extLst>
              <c:ext xmlns:c16="http://schemas.microsoft.com/office/drawing/2014/chart" uri="{C3380CC4-5D6E-409C-BE32-E72D297353CC}">
                <c16:uniqueId val="{00000007-D315-47AA-BBAC-69BC95581C39}"/>
              </c:ext>
            </c:extLst>
          </c:dPt>
          <c:dLbls>
            <c:dLbl>
              <c:idx val="0"/>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315-47AA-BBAC-69BC95581C39}"/>
                </c:ext>
              </c:extLst>
            </c:dLbl>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(Theoretical!$D$25,Theoretical!$G$25)</c:f>
              <c:numCache>
                <c:formatCode>0</c:formatCode>
                <c:ptCount val="2"/>
                <c:pt idx="0">
                  <c:v>8.8858991803278702</c:v>
                </c:pt>
                <c:pt idx="1">
                  <c:v>179.04760714285717</c:v>
                </c:pt>
              </c:numCache>
            </c:numRef>
          </c:val>
          <c:extLst>
            <c:ext xmlns:c16="http://schemas.microsoft.com/office/drawing/2014/chart" uri="{C3380CC4-5D6E-409C-BE32-E72D297353CC}">
              <c16:uniqueId val="{00000008-D315-47AA-BBAC-69BC95581C39}"/>
            </c:ext>
          </c:extLst>
        </c:ser>
        <c:ser>
          <c:idx val="7"/>
          <c:order val="7"/>
          <c:tx>
            <c:strRef>
              <c:f>Theoretical!$A$27</c:f>
              <c:strCache>
                <c:ptCount val="1"/>
                <c:pt idx="0">
                  <c:v>Cellulose | Enzymatic</c:v>
                </c:pt>
              </c:strCache>
            </c:strRef>
          </c:tx>
          <c:spPr>
            <a:solidFill>
              <a:srgbClr val="5F7530"/>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(Theoretical!$D$27,Theoretical!$G$27)</c:f>
              <c:numCache>
                <c:formatCode>0</c:formatCode>
                <c:ptCount val="2"/>
                <c:pt idx="0">
                  <c:v>511.86921666666672</c:v>
                </c:pt>
                <c:pt idx="1">
                  <c:v>594.42876774193542</c:v>
                </c:pt>
              </c:numCache>
            </c:numRef>
          </c:val>
          <c:extLst>
            <c:ext xmlns:c16="http://schemas.microsoft.com/office/drawing/2014/chart" uri="{C3380CC4-5D6E-409C-BE32-E72D297353CC}">
              <c16:uniqueId val="{00000009-D315-47AA-BBAC-69BC95581C39}"/>
            </c:ext>
          </c:extLst>
        </c:ser>
        <c:ser>
          <c:idx val="8"/>
          <c:order val="8"/>
          <c:tx>
            <c:strRef>
              <c:f>Theoretical!$A$28</c:f>
              <c:strCache>
                <c:ptCount val="1"/>
                <c:pt idx="0">
                  <c:v>Polyesters | Biochemical</c:v>
                </c:pt>
              </c:strCache>
            </c:strRef>
          </c:tx>
          <c:spPr>
            <a:solidFill>
              <a:srgbClr val="4D3B6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(Theoretical!$D$28,Theoretical!$G$28)</c:f>
              <c:numCache>
                <c:formatCode>0</c:formatCode>
                <c:ptCount val="2"/>
                <c:pt idx="0">
                  <c:v>187.99337500000004</c:v>
                </c:pt>
                <c:pt idx="1">
                  <c:v>218.31488709677421</c:v>
                </c:pt>
              </c:numCache>
            </c:numRef>
          </c:val>
          <c:extLst>
            <c:ext xmlns:c16="http://schemas.microsoft.com/office/drawing/2014/chart" uri="{C3380CC4-5D6E-409C-BE32-E72D297353CC}">
              <c16:uniqueId val="{0000000A-D315-47AA-BBAC-69BC95581C39}"/>
            </c:ext>
          </c:extLst>
        </c:ser>
        <c:ser>
          <c:idx val="9"/>
          <c:order val="9"/>
          <c:tx>
            <c:strRef>
              <c:f>Theoretical!$A$29</c:f>
              <c:strCache>
                <c:ptCount val="1"/>
                <c:pt idx="0">
                  <c:v>Polyamides | Biochemical</c:v>
                </c:pt>
              </c:strCache>
            </c:strRef>
          </c:tx>
          <c:spPr>
            <a:solidFill>
              <a:srgbClr val="276A7C"/>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(Theoretical!$B$17,Theoretical!$E$17)</c:f>
              <c:strCache>
                <c:ptCount val="2"/>
                <c:pt idx="0">
                  <c:v>Baseline</c:v>
                </c:pt>
                <c:pt idx="1">
                  <c:v>Aspirational</c:v>
                </c:pt>
              </c:strCache>
            </c:strRef>
          </c:cat>
          <c:val>
            <c:numRef>
              <c:f>(Theoretical!$D$29,Theoretical!$G$29)</c:f>
              <c:numCache>
                <c:formatCode>0</c:formatCode>
                <c:ptCount val="2"/>
                <c:pt idx="0">
                  <c:v>67.116875000000007</c:v>
                </c:pt>
                <c:pt idx="1">
                  <c:v>77.942177419354834</c:v>
                </c:pt>
              </c:numCache>
            </c:numRef>
          </c:val>
          <c:extLst>
            <c:ext xmlns:c16="http://schemas.microsoft.com/office/drawing/2014/chart" uri="{C3380CC4-5D6E-409C-BE32-E72D297353CC}">
              <c16:uniqueId val="{0000000B-D315-47AA-BBAC-69BC95581C39}"/>
            </c:ext>
          </c:extLst>
        </c:ser>
        <c:dLbls>
          <c:showLegendKey val="0"/>
          <c:showVal val="0"/>
          <c:showCatName val="0"/>
          <c:showSerName val="0"/>
          <c:showPercent val="0"/>
          <c:showBubbleSize val="0"/>
        </c:dLbls>
        <c:gapWidth val="150"/>
        <c:overlap val="100"/>
        <c:axId val="61639189"/>
        <c:axId val="89201683"/>
      </c:barChart>
      <c:catAx>
        <c:axId val="61639189"/>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000" b="1" strike="noStrike" spc="-1">
                <a:solidFill>
                  <a:srgbClr val="595959"/>
                </a:solidFill>
                <a:latin typeface="Calibri"/>
                <a:ea typeface="Calibri"/>
              </a:defRPr>
            </a:pPr>
            <a:endParaRPr lang="en-US"/>
          </a:p>
        </c:txPr>
        <c:crossAx val="89201683"/>
        <c:crosses val="autoZero"/>
        <c:auto val="1"/>
        <c:lblAlgn val="ctr"/>
        <c:lblOffset val="100"/>
        <c:noMultiLvlLbl val="0"/>
      </c:catAx>
      <c:valAx>
        <c:axId val="89201683"/>
        <c:scaling>
          <c:orientation val="minMax"/>
        </c:scaling>
        <c:delete val="0"/>
        <c:axPos val="l"/>
        <c:majorGridlines>
          <c:spPr>
            <a:ln w="6480">
              <a:solidFill>
                <a:srgbClr val="D9D9D9"/>
              </a:solidFill>
              <a:round/>
            </a:ln>
          </c:spPr>
        </c:majorGridlines>
        <c:title>
          <c:tx>
            <c:rich>
              <a:bodyPr rot="-5400000"/>
              <a:lstStyle/>
              <a:p>
                <a:pPr>
                  <a:defRPr lang="en-AU" sz="1000" b="1" strike="noStrike" spc="-1">
                    <a:solidFill>
                      <a:srgbClr val="595959"/>
                    </a:solidFill>
                    <a:latin typeface="Calibri"/>
                    <a:ea typeface="Calibri"/>
                  </a:defRPr>
                </a:pPr>
                <a:r>
                  <a:rPr lang="en-AU" sz="1000" b="1" strike="noStrike" spc="-1">
                    <a:solidFill>
                      <a:srgbClr val="595959"/>
                    </a:solidFill>
                    <a:latin typeface="Calibri"/>
                    <a:ea typeface="Calibri"/>
                  </a:rPr>
                  <a:t>Biomass [kg/a]</a:t>
                </a:r>
              </a:p>
            </c:rich>
          </c:tx>
          <c:overlay val="0"/>
          <c:spPr>
            <a:noFill/>
            <a:ln w="0">
              <a:noFill/>
            </a:ln>
          </c:spPr>
        </c:title>
        <c:numFmt formatCode="0" sourceLinked="0"/>
        <c:majorTickMark val="none"/>
        <c:minorTickMark val="none"/>
        <c:tickLblPos val="nextTo"/>
        <c:spPr>
          <a:ln w="9360">
            <a:noFill/>
          </a:ln>
        </c:spPr>
        <c:txPr>
          <a:bodyPr/>
          <a:lstStyle/>
          <a:p>
            <a:pPr>
              <a:defRPr sz="1000" b="0" strike="noStrike" spc="-1">
                <a:solidFill>
                  <a:srgbClr val="595959"/>
                </a:solidFill>
                <a:latin typeface="Calibri"/>
                <a:ea typeface="Calibri"/>
              </a:defRPr>
            </a:pPr>
            <a:endParaRPr lang="en-US"/>
          </a:p>
        </c:txPr>
        <c:crossAx val="61639189"/>
        <c:crosses val="autoZero"/>
        <c:crossBetween val="between"/>
      </c:valAx>
      <c:spPr>
        <a:noFill/>
        <a:ln w="0">
          <a:noFill/>
        </a:ln>
      </c:spPr>
    </c:plotArea>
    <c:legend>
      <c:legendPos val="b"/>
      <c:overlay val="0"/>
      <c:spPr>
        <a:noFill/>
        <a:ln w="0">
          <a:noFill/>
        </a:ln>
      </c:spPr>
      <c:txPr>
        <a:bodyPr/>
        <a:lstStyle/>
        <a:p>
          <a:pPr>
            <a:defRPr sz="10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Reactor Volumes [L] (</a:t>
            </a:r>
            <a:r>
              <a:rPr lang="en-AU" sz="1400" b="0" i="0" u="none" strike="noStrike" kern="1200" spc="-1" baseline="0">
                <a:solidFill>
                  <a:srgbClr val="595959"/>
                </a:solidFill>
                <a:latin typeface="Calibri"/>
                <a:ea typeface="Calibri"/>
              </a:rPr>
              <a:t>Baseline</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Empirical!$C$18</c:f>
              <c:strCache>
                <c:ptCount val="1"/>
                <c:pt idx="0">
                  <c:v>Reactor Volume [L]</c:v>
                </c:pt>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EE3C-4FF0-9002-03F8802B5BBA}"/>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EE3C-4FF0-9002-03F8802B5BBA}"/>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EE3C-4FF0-9002-03F8802B5BBA}"/>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EE3C-4FF0-9002-03F8802B5BBA}"/>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EE3C-4FF0-9002-03F8802B5BBA}"/>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EE3C-4FF0-9002-03F8802B5BBA}"/>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EE3C-4FF0-9002-03F8802B5BBA}"/>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EE3C-4FF0-9002-03F8802B5BBA}"/>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EE3C-4FF0-9002-03F8802B5BBA}"/>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EE3C-4FF0-9002-03F8802B5BBA}"/>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EE3C-4FF0-9002-03F8802B5BBA}"/>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EE3C-4FF0-9002-03F8802B5BBA}"/>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EE3C-4FF0-9002-03F8802B5BBA}"/>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EE3C-4FF0-9002-03F8802B5BBA}"/>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EE3C-4FF0-9002-03F8802B5BBA}"/>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EE3C-4FF0-9002-03F8802B5BBA}"/>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EE3C-4FF0-9002-03F8802B5BBA}"/>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EE3C-4FF0-9002-03F8802B5BBA}"/>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EE3C-4FF0-9002-03F8802B5BBA}"/>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EE3C-4FF0-9002-03F8802B5BBA}"/>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EE3C-4FF0-9002-03F8802B5BBA}"/>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EE3C-4FF0-9002-03F8802B5BBA}"/>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Empirical!$A$19:$A$29</c:f>
              <c:strCache>
                <c:ptCount val="11"/>
                <c:pt idx="0">
                  <c:v>CO2 | Photoautotroph (aerobic)</c:v>
                </c:pt>
                <c:pt idx="1">
                  <c:v>CO2 | Lithoautotroph (aerobic)</c:v>
                </c:pt>
                <c:pt idx="2">
                  <c:v>CO | Lithoautotroph (anaerobic)</c:v>
                </c:pt>
                <c:pt idx="3">
                  <c:v>CH4 | Methanotroph (aerobic)</c:v>
                </c:pt>
                <c:pt idx="4">
                  <c:v>VFAs | Heterotroph (aerobic)</c:v>
                </c:pt>
                <c:pt idx="5">
                  <c:v>Wet_Organics | Heterotroph (aerobic)</c:v>
                </c:pt>
                <c:pt idx="7">
                  <c:v>Wet_Organics | Heterotroph (anaerobic)</c:v>
                </c:pt>
                <c:pt idx="8">
                  <c:v>Cellulose | Enzymatic</c:v>
                </c:pt>
                <c:pt idx="9">
                  <c:v>Polyesters | Biochemical</c:v>
                </c:pt>
                <c:pt idx="10">
                  <c:v>Polyamides | Biochemical</c:v>
                </c:pt>
              </c:strCache>
            </c:strRef>
          </c:cat>
          <c:val>
            <c:numRef>
              <c:f>Empirical!$C$19:$C$29</c:f>
              <c:numCache>
                <c:formatCode>0</c:formatCode>
                <c:ptCount val="11"/>
                <c:pt idx="0">
                  <c:v>1890.8479044057754</c:v>
                </c:pt>
                <c:pt idx="1">
                  <c:v>50.696646712328764</c:v>
                </c:pt>
                <c:pt idx="2">
                  <c:v>6.9863199934712883</c:v>
                </c:pt>
                <c:pt idx="3">
                  <c:v>2743.0831722867574</c:v>
                </c:pt>
                <c:pt idx="4">
                  <c:v>391.16367324764911</c:v>
                </c:pt>
                <c:pt idx="5">
                  <c:v>#N/A</c:v>
                </c:pt>
                <c:pt idx="7">
                  <c:v>347.83561643835611</c:v>
                </c:pt>
                <c:pt idx="8">
                  <c:v>2345.8016405147368</c:v>
                </c:pt>
                <c:pt idx="9">
                  <c:v>3466.4359620352247</c:v>
                </c:pt>
                <c:pt idx="10">
                  <c:v>14342.784246575344</c:v>
                </c:pt>
              </c:numCache>
            </c:numRef>
          </c:val>
          <c:extLst>
            <c:ext xmlns:c16="http://schemas.microsoft.com/office/drawing/2014/chart" uri="{C3380CC4-5D6E-409C-BE32-E72D297353CC}">
              <c16:uniqueId val="{00000016-EE3C-4FF0-9002-03F8802B5BBA}"/>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Reactor Volumes [L] (</a:t>
            </a:r>
            <a:r>
              <a:rPr lang="en-AU" sz="1400" b="0" i="0" u="none" strike="noStrike" kern="1200" spc="-1" baseline="0">
                <a:solidFill>
                  <a:srgbClr val="595959"/>
                </a:solidFill>
                <a:latin typeface="Calibri"/>
                <a:ea typeface="Calibri"/>
              </a:rPr>
              <a:t>Aspirational</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Empirical!$F$18</c:f>
              <c:strCache>
                <c:ptCount val="1"/>
                <c:pt idx="0">
                  <c:v>Reactor Vol [L]</c:v>
                </c:pt>
              </c:strCache>
            </c:strRef>
          </c:tx>
          <c:spPr>
            <a:solidFill>
              <a:srgbClr val="C0504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7874-409E-9817-F643F7BB579E}"/>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7874-409E-9817-F643F7BB579E}"/>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7874-409E-9817-F643F7BB579E}"/>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7874-409E-9817-F643F7BB579E}"/>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7874-409E-9817-F643F7BB579E}"/>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7874-409E-9817-F643F7BB579E}"/>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7874-409E-9817-F643F7BB579E}"/>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7874-409E-9817-F643F7BB579E}"/>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7874-409E-9817-F643F7BB579E}"/>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7874-409E-9817-F643F7BB579E}"/>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7874-409E-9817-F643F7BB579E}"/>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7874-409E-9817-F643F7BB579E}"/>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7874-409E-9817-F643F7BB579E}"/>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7874-409E-9817-F643F7BB579E}"/>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7874-409E-9817-F643F7BB579E}"/>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7874-409E-9817-F643F7BB579E}"/>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7874-409E-9817-F643F7BB579E}"/>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7874-409E-9817-F643F7BB579E}"/>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7874-409E-9817-F643F7BB579E}"/>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7874-409E-9817-F643F7BB579E}"/>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7874-409E-9817-F643F7BB579E}"/>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7874-409E-9817-F643F7BB579E}"/>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Empirical!$A$19:$A$29</c:f>
              <c:strCache>
                <c:ptCount val="11"/>
                <c:pt idx="0">
                  <c:v>CO2 | Photoautotroph (aerobic)</c:v>
                </c:pt>
                <c:pt idx="1">
                  <c:v>CO2 | Lithoautotroph (aerobic)</c:v>
                </c:pt>
                <c:pt idx="2">
                  <c:v>CO | Lithoautotroph (anaerobic)</c:v>
                </c:pt>
                <c:pt idx="3">
                  <c:v>CH4 | Methanotroph (aerobic)</c:v>
                </c:pt>
                <c:pt idx="4">
                  <c:v>VFAs | Heterotroph (aerobic)</c:v>
                </c:pt>
                <c:pt idx="5">
                  <c:v>Wet_Organics | Heterotroph (aerobic)</c:v>
                </c:pt>
                <c:pt idx="7">
                  <c:v>Wet_Organics | Heterotroph (anaerobic)</c:v>
                </c:pt>
                <c:pt idx="8">
                  <c:v>Cellulose | Enzymatic</c:v>
                </c:pt>
                <c:pt idx="9">
                  <c:v>Polyesters | Biochemical</c:v>
                </c:pt>
                <c:pt idx="10">
                  <c:v>Polyamides | Biochemical</c:v>
                </c:pt>
              </c:strCache>
            </c:strRef>
          </c:cat>
          <c:val>
            <c:numRef>
              <c:f>Empirical!$F$19:$F$29</c:f>
              <c:numCache>
                <c:formatCode>0</c:formatCode>
                <c:ptCount val="11"/>
                <c:pt idx="0">
                  <c:v>15.939995545916789</c:v>
                </c:pt>
                <c:pt idx="1">
                  <c:v>1.8439358882612076</c:v>
                </c:pt>
                <c:pt idx="2">
                  <c:v>204.20198742582787</c:v>
                </c:pt>
                <c:pt idx="3">
                  <c:v>744.74945261346545</c:v>
                </c:pt>
                <c:pt idx="4">
                  <c:v>43.449627538893921</c:v>
                </c:pt>
                <c:pt idx="5">
                  <c:v>#N/A</c:v>
                </c:pt>
                <c:pt idx="7">
                  <c:v>52.175342465753417</c:v>
                </c:pt>
                <c:pt idx="8">
                  <c:v>344.98582821917807</c:v>
                </c:pt>
                <c:pt idx="9">
                  <c:v>3807.9551386093617</c:v>
                </c:pt>
                <c:pt idx="10">
                  <c:v>203.4640722291407</c:v>
                </c:pt>
              </c:numCache>
            </c:numRef>
          </c:val>
          <c:extLst>
            <c:ext xmlns:c16="http://schemas.microsoft.com/office/drawing/2014/chart" uri="{C3380CC4-5D6E-409C-BE32-E72D297353CC}">
              <c16:uniqueId val="{00000016-7874-409E-9817-F643F7BB579E}"/>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Empirical!$A$19</c:f>
              <c:strCache>
                <c:ptCount val="1"/>
                <c:pt idx="0">
                  <c:v>CO2 | Photoautotroph (aerobic)</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(Empirical!$C$19,Empirical!$F$19)</c:f>
              <c:numCache>
                <c:formatCode>0</c:formatCode>
                <c:ptCount val="2"/>
                <c:pt idx="0">
                  <c:v>1890.8479044057754</c:v>
                </c:pt>
                <c:pt idx="1">
                  <c:v>15.939995545916789</c:v>
                </c:pt>
              </c:numCache>
            </c:numRef>
          </c:val>
          <c:extLst>
            <c:ext xmlns:c16="http://schemas.microsoft.com/office/drawing/2014/chart" uri="{C3380CC4-5D6E-409C-BE32-E72D297353CC}">
              <c16:uniqueId val="{00000000-CACD-4245-9D21-162CBF6B53A3}"/>
            </c:ext>
          </c:extLst>
        </c:ser>
        <c:ser>
          <c:idx val="1"/>
          <c:order val="1"/>
          <c:tx>
            <c:strRef>
              <c:f>Empirical!$A$20</c:f>
              <c:strCache>
                <c:ptCount val="1"/>
                <c:pt idx="0">
                  <c:v>CO2 | Lithoautotroph (aerobic)</c:v>
                </c:pt>
              </c:strCache>
            </c:strRef>
          </c:tx>
          <c:spPr>
            <a:solidFill>
              <a:srgbClr val="C0504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(Empirical!$C$20,Empirical!$F$20)</c:f>
              <c:numCache>
                <c:formatCode>0</c:formatCode>
                <c:ptCount val="2"/>
                <c:pt idx="0">
                  <c:v>50.696646712328764</c:v>
                </c:pt>
                <c:pt idx="1">
                  <c:v>1.8439358882612076</c:v>
                </c:pt>
              </c:numCache>
            </c:numRef>
          </c:val>
          <c:extLst>
            <c:ext xmlns:c16="http://schemas.microsoft.com/office/drawing/2014/chart" uri="{C3380CC4-5D6E-409C-BE32-E72D297353CC}">
              <c16:uniqueId val="{00000001-CACD-4245-9D21-162CBF6B53A3}"/>
            </c:ext>
          </c:extLst>
        </c:ser>
        <c:ser>
          <c:idx val="2"/>
          <c:order val="2"/>
          <c:tx>
            <c:strRef>
              <c:f>Empirical!$A$21</c:f>
              <c:strCache>
                <c:ptCount val="1"/>
                <c:pt idx="0">
                  <c:v>CO | Lithoautotroph (anaerobic)</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(Empirical!$C$21,Empirical!$F$21)</c:f>
              <c:numCache>
                <c:formatCode>0</c:formatCode>
                <c:ptCount val="2"/>
                <c:pt idx="0">
                  <c:v>6.9863199934712883</c:v>
                </c:pt>
                <c:pt idx="1">
                  <c:v>204.20198742582787</c:v>
                </c:pt>
              </c:numCache>
            </c:numRef>
          </c:val>
          <c:extLst>
            <c:ext xmlns:c16="http://schemas.microsoft.com/office/drawing/2014/chart" uri="{C3380CC4-5D6E-409C-BE32-E72D297353CC}">
              <c16:uniqueId val="{00000002-CACD-4245-9D21-162CBF6B53A3}"/>
            </c:ext>
          </c:extLst>
        </c:ser>
        <c:ser>
          <c:idx val="3"/>
          <c:order val="3"/>
          <c:tx>
            <c:strRef>
              <c:f>Empirical!$A$22</c:f>
              <c:strCache>
                <c:ptCount val="1"/>
                <c:pt idx="0">
                  <c:v>CH4 | Methanotroph (aerobic)</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(Empirical!$C$22,Empirical!$F$22)</c:f>
              <c:numCache>
                <c:formatCode>0</c:formatCode>
                <c:ptCount val="2"/>
                <c:pt idx="0">
                  <c:v>2743.0831722867574</c:v>
                </c:pt>
                <c:pt idx="1">
                  <c:v>744.74945261346545</c:v>
                </c:pt>
              </c:numCache>
            </c:numRef>
          </c:val>
          <c:extLst>
            <c:ext xmlns:c16="http://schemas.microsoft.com/office/drawing/2014/chart" uri="{C3380CC4-5D6E-409C-BE32-E72D297353CC}">
              <c16:uniqueId val="{00000003-CACD-4245-9D21-162CBF6B53A3}"/>
            </c:ext>
          </c:extLst>
        </c:ser>
        <c:ser>
          <c:idx val="4"/>
          <c:order val="4"/>
          <c:tx>
            <c:strRef>
              <c:f>Empirical!$A$23</c:f>
              <c:strCache>
                <c:ptCount val="1"/>
                <c:pt idx="0">
                  <c:v>VFAs | Heterotroph (aerobic)</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(Empirical!$C$23,Empirical!$F$23)</c:f>
              <c:numCache>
                <c:formatCode>0</c:formatCode>
                <c:ptCount val="2"/>
                <c:pt idx="0">
                  <c:v>391.16367324764911</c:v>
                </c:pt>
                <c:pt idx="1">
                  <c:v>43.449627538893921</c:v>
                </c:pt>
              </c:numCache>
            </c:numRef>
          </c:val>
          <c:extLst>
            <c:ext xmlns:c16="http://schemas.microsoft.com/office/drawing/2014/chart" uri="{C3380CC4-5D6E-409C-BE32-E72D297353CC}">
              <c16:uniqueId val="{00000004-CACD-4245-9D21-162CBF6B53A3}"/>
            </c:ext>
          </c:extLst>
        </c:ser>
        <c:ser>
          <c:idx val="5"/>
          <c:order val="5"/>
          <c:tx>
            <c:strRef>
              <c:f>Empirical!$A$24</c:f>
              <c:strCache>
                <c:ptCount val="1"/>
                <c:pt idx="0">
                  <c:v>Wet_Organics | Heterotroph (aerobic)</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(Empirical!$C$24,Empirical!$F$24)</c:f>
              <c:numCache>
                <c:formatCode>0</c:formatCode>
                <c:ptCount val="2"/>
                <c:pt idx="0">
                  <c:v>#N/A</c:v>
                </c:pt>
                <c:pt idx="1">
                  <c:v>#N/A</c:v>
                </c:pt>
              </c:numCache>
            </c:numRef>
          </c:val>
          <c:extLst>
            <c:ext xmlns:c16="http://schemas.microsoft.com/office/drawing/2014/chart" uri="{C3380CC4-5D6E-409C-BE32-E72D297353CC}">
              <c16:uniqueId val="{00000005-CACD-4245-9D21-162CBF6B53A3}"/>
            </c:ext>
          </c:extLst>
        </c:ser>
        <c:ser>
          <c:idx val="6"/>
          <c:order val="6"/>
          <c:tx>
            <c:strRef>
              <c:f>Empirical!$A$27</c:f>
              <c:strCache>
                <c:ptCount val="1"/>
                <c:pt idx="0">
                  <c:v>Cellulose | Enzymatic</c:v>
                </c:pt>
              </c:strCache>
            </c:strRef>
          </c:tx>
          <c:spPr>
            <a:solidFill>
              <a:srgbClr val="5F7530"/>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(Empirical!$C$27,Empirical!$F$27)</c:f>
              <c:numCache>
                <c:formatCode>0</c:formatCode>
                <c:ptCount val="2"/>
                <c:pt idx="0">
                  <c:v>2345.8016405147368</c:v>
                </c:pt>
                <c:pt idx="1">
                  <c:v>344.98582821917807</c:v>
                </c:pt>
              </c:numCache>
            </c:numRef>
          </c:val>
          <c:extLst>
            <c:ext xmlns:c16="http://schemas.microsoft.com/office/drawing/2014/chart" uri="{C3380CC4-5D6E-409C-BE32-E72D297353CC}">
              <c16:uniqueId val="{00000006-CACD-4245-9D21-162CBF6B53A3}"/>
            </c:ext>
          </c:extLst>
        </c:ser>
        <c:ser>
          <c:idx val="7"/>
          <c:order val="7"/>
          <c:tx>
            <c:strRef>
              <c:f>Empirical!$A$28</c:f>
              <c:strCache>
                <c:ptCount val="1"/>
                <c:pt idx="0">
                  <c:v>Polyesters | Biochemical</c:v>
                </c:pt>
              </c:strCache>
            </c:strRef>
          </c:tx>
          <c:spPr>
            <a:solidFill>
              <a:srgbClr val="4D3B6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(Empirical!$C$28,Empirical!$F$28)</c:f>
              <c:numCache>
                <c:formatCode>0</c:formatCode>
                <c:ptCount val="2"/>
                <c:pt idx="0">
                  <c:v>3466.4359620352247</c:v>
                </c:pt>
                <c:pt idx="1">
                  <c:v>3807.9551386093617</c:v>
                </c:pt>
              </c:numCache>
            </c:numRef>
          </c:val>
          <c:extLst>
            <c:ext xmlns:c16="http://schemas.microsoft.com/office/drawing/2014/chart" uri="{C3380CC4-5D6E-409C-BE32-E72D297353CC}">
              <c16:uniqueId val="{00000007-CACD-4245-9D21-162CBF6B53A3}"/>
            </c:ext>
          </c:extLst>
        </c:ser>
        <c:ser>
          <c:idx val="8"/>
          <c:order val="8"/>
          <c:tx>
            <c:strRef>
              <c:f>Empirical!$A$29</c:f>
              <c:strCache>
                <c:ptCount val="1"/>
                <c:pt idx="0">
                  <c:v>Polyamides | Biochemical</c:v>
                </c:pt>
              </c:strCache>
            </c:strRef>
          </c:tx>
          <c:spPr>
            <a:solidFill>
              <a:srgbClr val="276A7C"/>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(Empirical!$C$29,Empirical!$F$29)</c:f>
              <c:numCache>
                <c:formatCode>0</c:formatCode>
                <c:ptCount val="2"/>
                <c:pt idx="0">
                  <c:v>14342.784246575344</c:v>
                </c:pt>
                <c:pt idx="1">
                  <c:v>203.4640722291407</c:v>
                </c:pt>
              </c:numCache>
            </c:numRef>
          </c:val>
          <c:extLst>
            <c:ext xmlns:c16="http://schemas.microsoft.com/office/drawing/2014/chart" uri="{C3380CC4-5D6E-409C-BE32-E72D297353CC}">
              <c16:uniqueId val="{00000008-CACD-4245-9D21-162CBF6B53A3}"/>
            </c:ext>
          </c:extLst>
        </c:ser>
        <c:dLbls>
          <c:showLegendKey val="0"/>
          <c:showVal val="0"/>
          <c:showCatName val="0"/>
          <c:showSerName val="0"/>
          <c:showPercent val="0"/>
          <c:showBubbleSize val="0"/>
        </c:dLbls>
        <c:gapWidth val="150"/>
        <c:overlap val="100"/>
        <c:axId val="36018248"/>
        <c:axId val="97962359"/>
      </c:barChart>
      <c:catAx>
        <c:axId val="3601824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000" b="1" strike="noStrike" spc="-1">
                <a:solidFill>
                  <a:srgbClr val="595959"/>
                </a:solidFill>
                <a:latin typeface="Calibri"/>
                <a:ea typeface="Calibri"/>
              </a:defRPr>
            </a:pPr>
            <a:endParaRPr lang="en-US"/>
          </a:p>
        </c:txPr>
        <c:crossAx val="97962359"/>
        <c:crosses val="autoZero"/>
        <c:auto val="1"/>
        <c:lblAlgn val="ctr"/>
        <c:lblOffset val="100"/>
        <c:noMultiLvlLbl val="0"/>
      </c:catAx>
      <c:valAx>
        <c:axId val="97962359"/>
        <c:scaling>
          <c:orientation val="minMax"/>
        </c:scaling>
        <c:delete val="0"/>
        <c:axPos val="l"/>
        <c:majorGridlines>
          <c:spPr>
            <a:ln w="6480">
              <a:solidFill>
                <a:srgbClr val="D9D9D9"/>
              </a:solidFill>
              <a:round/>
            </a:ln>
          </c:spPr>
        </c:majorGridlines>
        <c:title>
          <c:tx>
            <c:rich>
              <a:bodyPr rot="-5400000"/>
              <a:lstStyle/>
              <a:p>
                <a:pPr>
                  <a:defRPr lang="en-AU" sz="1000" b="1" strike="noStrike" spc="-1">
                    <a:solidFill>
                      <a:srgbClr val="595959"/>
                    </a:solidFill>
                    <a:latin typeface="Calibri"/>
                    <a:ea typeface="Calibri"/>
                  </a:defRPr>
                </a:pPr>
                <a:r>
                  <a:rPr lang="en-AU" sz="1000" b="1" strike="noStrike" spc="-1">
                    <a:solidFill>
                      <a:srgbClr val="595959"/>
                    </a:solidFill>
                    <a:latin typeface="Calibri"/>
                    <a:ea typeface="Calibri"/>
                  </a:rPr>
                  <a:t>Reactor Volume [L]</a:t>
                </a:r>
              </a:p>
            </c:rich>
          </c:tx>
          <c:overlay val="0"/>
          <c:spPr>
            <a:noFill/>
            <a:ln w="0">
              <a:noFill/>
            </a:ln>
          </c:spPr>
        </c:title>
        <c:numFmt formatCode="0" sourceLinked="0"/>
        <c:majorTickMark val="none"/>
        <c:minorTickMark val="none"/>
        <c:tickLblPos val="nextTo"/>
        <c:spPr>
          <a:ln w="9360">
            <a:noFill/>
          </a:ln>
        </c:spPr>
        <c:txPr>
          <a:bodyPr/>
          <a:lstStyle/>
          <a:p>
            <a:pPr>
              <a:defRPr sz="1000" b="0" strike="noStrike" spc="-1">
                <a:solidFill>
                  <a:srgbClr val="595959"/>
                </a:solidFill>
                <a:latin typeface="Calibri"/>
                <a:ea typeface="Calibri"/>
              </a:defRPr>
            </a:pPr>
            <a:endParaRPr lang="en-US"/>
          </a:p>
        </c:txPr>
        <c:crossAx val="36018248"/>
        <c:crosses val="autoZero"/>
        <c:crossBetween val="between"/>
      </c:valAx>
      <c:spPr>
        <a:noFill/>
        <a:ln w="0">
          <a:noFill/>
        </a:ln>
      </c:spPr>
    </c:plotArea>
    <c:legend>
      <c:legendPos val="b"/>
      <c:overlay val="0"/>
      <c:spPr>
        <a:noFill/>
        <a:ln w="0">
          <a:noFill/>
        </a:ln>
      </c:spPr>
      <c:txPr>
        <a:bodyPr/>
        <a:lstStyle/>
        <a:p>
          <a:pPr>
            <a:defRPr sz="10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Empirical!$A$19</c:f>
              <c:strCache>
                <c:ptCount val="1"/>
                <c:pt idx="0">
                  <c:v>CO2 | Photoautotroph (aerobic)</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(Empirical!$D$19,Empirical!$G$19)</c:f>
              <c:numCache>
                <c:formatCode>0</c:formatCode>
                <c:ptCount val="2"/>
                <c:pt idx="0">
                  <c:v>255.35900948999998</c:v>
                </c:pt>
                <c:pt idx="1">
                  <c:v>12.276187569687815</c:v>
                </c:pt>
              </c:numCache>
            </c:numRef>
          </c:val>
          <c:extLst>
            <c:ext xmlns:c16="http://schemas.microsoft.com/office/drawing/2014/chart" uri="{C3380CC4-5D6E-409C-BE32-E72D297353CC}">
              <c16:uniqueId val="{00000000-6BA0-40EA-9A9E-8471BC7D4874}"/>
            </c:ext>
          </c:extLst>
        </c:ser>
        <c:ser>
          <c:idx val="1"/>
          <c:order val="1"/>
          <c:tx>
            <c:strRef>
              <c:f>Empirical!$A$20</c:f>
              <c:strCache>
                <c:ptCount val="1"/>
                <c:pt idx="0">
                  <c:v>CO2 | Lithoautotroph (aerobic)</c:v>
                </c:pt>
              </c:strCache>
            </c:strRef>
          </c:tx>
          <c:spPr>
            <a:solidFill>
              <a:srgbClr val="C0504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(Empirical!$D$20,Empirical!$G$20)</c:f>
              <c:numCache>
                <c:formatCode>0</c:formatCode>
                <c:ptCount val="2"/>
                <c:pt idx="0">
                  <c:v>85.119669829999992</c:v>
                </c:pt>
                <c:pt idx="1">
                  <c:v>36.828562709063448</c:v>
                </c:pt>
              </c:numCache>
            </c:numRef>
          </c:val>
          <c:extLst>
            <c:ext xmlns:c16="http://schemas.microsoft.com/office/drawing/2014/chart" uri="{C3380CC4-5D6E-409C-BE32-E72D297353CC}">
              <c16:uniqueId val="{00000001-6BA0-40EA-9A9E-8471BC7D4874}"/>
            </c:ext>
          </c:extLst>
        </c:ser>
        <c:ser>
          <c:idx val="2"/>
          <c:order val="2"/>
          <c:tx>
            <c:strRef>
              <c:f>Empirical!$A$21</c:f>
              <c:strCache>
                <c:ptCount val="1"/>
                <c:pt idx="0">
                  <c:v>CO | Lithoautotroph (anaerobic)</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(Empirical!$D$21,Empirical!$G$21)</c:f>
              <c:numCache>
                <c:formatCode>0</c:formatCode>
                <c:ptCount val="2"/>
                <c:pt idx="0">
                  <c:v>1.1985031948799996</c:v>
                </c:pt>
                <c:pt idx="1">
                  <c:v>118.5086234025792</c:v>
                </c:pt>
              </c:numCache>
            </c:numRef>
          </c:val>
          <c:extLst>
            <c:ext xmlns:c16="http://schemas.microsoft.com/office/drawing/2014/chart" uri="{C3380CC4-5D6E-409C-BE32-E72D297353CC}">
              <c16:uniqueId val="{00000002-6BA0-40EA-9A9E-8471BC7D4874}"/>
            </c:ext>
          </c:extLst>
        </c:ser>
        <c:ser>
          <c:idx val="3"/>
          <c:order val="3"/>
          <c:tx>
            <c:strRef>
              <c:f>Empirical!$A$22</c:f>
              <c:strCache>
                <c:ptCount val="1"/>
                <c:pt idx="0">
                  <c:v>CH4 | Methanotroph (aerobic)</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(Empirical!$D$22,Empirical!$G$22)</c:f>
              <c:numCache>
                <c:formatCode>0</c:formatCode>
                <c:ptCount val="2"/>
                <c:pt idx="0">
                  <c:v>540.66169325772</c:v>
                </c:pt>
                <c:pt idx="1">
                  <c:v>1514.1128746358061</c:v>
                </c:pt>
              </c:numCache>
            </c:numRef>
          </c:val>
          <c:extLst>
            <c:ext xmlns:c16="http://schemas.microsoft.com/office/drawing/2014/chart" uri="{C3380CC4-5D6E-409C-BE32-E72D297353CC}">
              <c16:uniqueId val="{00000003-6BA0-40EA-9A9E-8471BC7D4874}"/>
            </c:ext>
          </c:extLst>
        </c:ser>
        <c:ser>
          <c:idx val="4"/>
          <c:order val="4"/>
          <c:tx>
            <c:strRef>
              <c:f>Empirical!$A$23</c:f>
              <c:strCache>
                <c:ptCount val="1"/>
                <c:pt idx="0">
                  <c:v>VFAs | Heterotroph (aerobic)</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(Empirical!$D$23,Empirical!$G$23)</c:f>
              <c:numCache>
                <c:formatCode>0</c:formatCode>
                <c:ptCount val="2"/>
                <c:pt idx="0">
                  <c:v>150.27041462400001</c:v>
                </c:pt>
                <c:pt idx="1">
                  <c:v>147.25187396999996</c:v>
                </c:pt>
              </c:numCache>
            </c:numRef>
          </c:val>
          <c:extLst>
            <c:ext xmlns:c16="http://schemas.microsoft.com/office/drawing/2014/chart" uri="{C3380CC4-5D6E-409C-BE32-E72D297353CC}">
              <c16:uniqueId val="{00000004-6BA0-40EA-9A9E-8471BC7D4874}"/>
            </c:ext>
          </c:extLst>
        </c:ser>
        <c:ser>
          <c:idx val="5"/>
          <c:order val="5"/>
          <c:tx>
            <c:strRef>
              <c:f>Empirical!$A$24</c:f>
              <c:strCache>
                <c:ptCount val="1"/>
                <c:pt idx="0">
                  <c:v>Wet_Organics | Heterotroph (aerobic)</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(Empirical!$D$24,Empirical!$G$24)</c:f>
              <c:numCache>
                <c:formatCode>0</c:formatCode>
                <c:ptCount val="2"/>
                <c:pt idx="0">
                  <c:v>0</c:v>
                </c:pt>
                <c:pt idx="1">
                  <c:v>0</c:v>
                </c:pt>
              </c:numCache>
            </c:numRef>
          </c:val>
          <c:extLst>
            <c:ext xmlns:c16="http://schemas.microsoft.com/office/drawing/2014/chart" uri="{C3380CC4-5D6E-409C-BE32-E72D297353CC}">
              <c16:uniqueId val="{00000005-6BA0-40EA-9A9E-8471BC7D4874}"/>
            </c:ext>
          </c:extLst>
        </c:ser>
        <c:ser>
          <c:idx val="6"/>
          <c:order val="6"/>
          <c:tx>
            <c:strRef>
              <c:f>Empirical!$A$27</c:f>
              <c:strCache>
                <c:ptCount val="1"/>
                <c:pt idx="0">
                  <c:v>Cellulose | Enzymatic</c:v>
                </c:pt>
              </c:strCache>
            </c:strRef>
          </c:tx>
          <c:spPr>
            <a:solidFill>
              <a:srgbClr val="5F7530"/>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(Empirical!$D$27,Empirical!$G$27)</c:f>
              <c:numCache>
                <c:formatCode>0</c:formatCode>
                <c:ptCount val="2"/>
                <c:pt idx="0">
                  <c:v>565.10361520000004</c:v>
                </c:pt>
                <c:pt idx="1">
                  <c:v>755.51896380000005</c:v>
                </c:pt>
              </c:numCache>
            </c:numRef>
          </c:val>
          <c:extLst>
            <c:ext xmlns:c16="http://schemas.microsoft.com/office/drawing/2014/chart" uri="{C3380CC4-5D6E-409C-BE32-E72D297353CC}">
              <c16:uniqueId val="{00000006-6BA0-40EA-9A9E-8471BC7D4874}"/>
            </c:ext>
          </c:extLst>
        </c:ser>
        <c:ser>
          <c:idx val="7"/>
          <c:order val="7"/>
          <c:tx>
            <c:strRef>
              <c:f>Empirical!$A$28</c:f>
              <c:strCache>
                <c:ptCount val="1"/>
                <c:pt idx="0">
                  <c:v>Polyesters | Biochemical</c:v>
                </c:pt>
              </c:strCache>
            </c:strRef>
          </c:tx>
          <c:spPr>
            <a:solidFill>
              <a:srgbClr val="4D3B6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(Empirical!$D$28,Empirical!$G$28)</c:f>
              <c:numCache>
                <c:formatCode>0</c:formatCode>
                <c:ptCount val="2"/>
                <c:pt idx="0">
                  <c:v>44.283719415000007</c:v>
                </c:pt>
                <c:pt idx="1">
                  <c:v>117.30786600000002</c:v>
                </c:pt>
              </c:numCache>
            </c:numRef>
          </c:val>
          <c:extLst>
            <c:ext xmlns:c16="http://schemas.microsoft.com/office/drawing/2014/chart" uri="{C3380CC4-5D6E-409C-BE32-E72D297353CC}">
              <c16:uniqueId val="{00000007-6BA0-40EA-9A9E-8471BC7D4874}"/>
            </c:ext>
          </c:extLst>
        </c:ser>
        <c:ser>
          <c:idx val="8"/>
          <c:order val="8"/>
          <c:tx>
            <c:strRef>
              <c:f>Empirical!$A$29</c:f>
              <c:strCache>
                <c:ptCount val="1"/>
                <c:pt idx="0">
                  <c:v>Polyamides | Biochemical</c:v>
                </c:pt>
              </c:strCache>
            </c:strRef>
          </c:tx>
          <c:spPr>
            <a:solidFill>
              <a:srgbClr val="276A7C"/>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(Empirical!$B$17,Empirical!$E$17)</c:f>
              <c:strCache>
                <c:ptCount val="2"/>
                <c:pt idx="0">
                  <c:v>Baseline</c:v>
                </c:pt>
                <c:pt idx="1">
                  <c:v>Aspirational</c:v>
                </c:pt>
              </c:strCache>
            </c:strRef>
          </c:cat>
          <c:val>
            <c:numRef>
              <c:f>(Empirical!$D$29,Empirical!$G$29)</c:f>
              <c:numCache>
                <c:formatCode>0</c:formatCode>
                <c:ptCount val="2"/>
                <c:pt idx="0">
                  <c:v>52.351162500000001</c:v>
                </c:pt>
                <c:pt idx="1">
                  <c:v>57.183577499999998</c:v>
                </c:pt>
              </c:numCache>
            </c:numRef>
          </c:val>
          <c:extLst>
            <c:ext xmlns:c16="http://schemas.microsoft.com/office/drawing/2014/chart" uri="{C3380CC4-5D6E-409C-BE32-E72D297353CC}">
              <c16:uniqueId val="{00000008-6BA0-40EA-9A9E-8471BC7D4874}"/>
            </c:ext>
          </c:extLst>
        </c:ser>
        <c:dLbls>
          <c:showLegendKey val="0"/>
          <c:showVal val="0"/>
          <c:showCatName val="0"/>
          <c:showSerName val="0"/>
          <c:showPercent val="0"/>
          <c:showBubbleSize val="0"/>
        </c:dLbls>
        <c:gapWidth val="150"/>
        <c:overlap val="100"/>
        <c:axId val="56108635"/>
        <c:axId val="19781429"/>
      </c:barChart>
      <c:catAx>
        <c:axId val="56108635"/>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000" b="1" strike="noStrike" spc="-1">
                <a:solidFill>
                  <a:srgbClr val="595959"/>
                </a:solidFill>
                <a:latin typeface="Calibri"/>
                <a:ea typeface="Calibri"/>
              </a:defRPr>
            </a:pPr>
            <a:endParaRPr lang="en-US"/>
          </a:p>
        </c:txPr>
        <c:crossAx val="19781429"/>
        <c:crosses val="autoZero"/>
        <c:auto val="1"/>
        <c:lblAlgn val="ctr"/>
        <c:lblOffset val="100"/>
        <c:noMultiLvlLbl val="0"/>
      </c:catAx>
      <c:valAx>
        <c:axId val="19781429"/>
        <c:scaling>
          <c:orientation val="minMax"/>
        </c:scaling>
        <c:delete val="0"/>
        <c:axPos val="l"/>
        <c:majorGridlines>
          <c:spPr>
            <a:ln w="6480">
              <a:solidFill>
                <a:srgbClr val="D9D9D9"/>
              </a:solidFill>
              <a:round/>
            </a:ln>
          </c:spPr>
        </c:majorGridlines>
        <c:title>
          <c:tx>
            <c:rich>
              <a:bodyPr rot="-5400000"/>
              <a:lstStyle/>
              <a:p>
                <a:pPr>
                  <a:defRPr lang="en-AU" sz="1000" b="1" strike="noStrike" spc="-1">
                    <a:solidFill>
                      <a:srgbClr val="595959"/>
                    </a:solidFill>
                    <a:latin typeface="Calibri"/>
                    <a:ea typeface="Calibri"/>
                  </a:defRPr>
                </a:pPr>
                <a:r>
                  <a:rPr lang="en-AU" sz="1000" b="1" strike="noStrike" spc="-1">
                    <a:solidFill>
                      <a:srgbClr val="595959"/>
                    </a:solidFill>
                    <a:latin typeface="Calibri"/>
                    <a:ea typeface="Calibri"/>
                  </a:rPr>
                  <a:t>Biomass [kg/a]</a:t>
                </a:r>
              </a:p>
            </c:rich>
          </c:tx>
          <c:overlay val="0"/>
          <c:spPr>
            <a:noFill/>
            <a:ln w="0">
              <a:noFill/>
            </a:ln>
          </c:spPr>
        </c:title>
        <c:numFmt formatCode="0" sourceLinked="0"/>
        <c:majorTickMark val="none"/>
        <c:minorTickMark val="none"/>
        <c:tickLblPos val="nextTo"/>
        <c:spPr>
          <a:ln w="9360">
            <a:noFill/>
          </a:ln>
        </c:spPr>
        <c:txPr>
          <a:bodyPr/>
          <a:lstStyle/>
          <a:p>
            <a:pPr>
              <a:defRPr sz="1000" b="0" strike="noStrike" spc="-1">
                <a:solidFill>
                  <a:srgbClr val="595959"/>
                </a:solidFill>
                <a:latin typeface="Calibri"/>
                <a:ea typeface="Calibri"/>
              </a:defRPr>
            </a:pPr>
            <a:endParaRPr lang="en-US"/>
          </a:p>
        </c:txPr>
        <c:crossAx val="56108635"/>
        <c:crosses val="autoZero"/>
        <c:crossBetween val="between"/>
      </c:valAx>
      <c:spPr>
        <a:noFill/>
        <a:ln w="0">
          <a:noFill/>
        </a:ln>
      </c:spPr>
    </c:plotArea>
    <c:legend>
      <c:legendPos val="b"/>
      <c:overlay val="0"/>
      <c:spPr>
        <a:noFill/>
        <a:ln w="0">
          <a:noFill/>
        </a:ln>
      </c:spPr>
      <c:txPr>
        <a:bodyPr/>
        <a:lstStyle/>
        <a:p>
          <a:pPr>
            <a:defRPr sz="10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Total Biomass [kg/a] (</a:t>
            </a:r>
            <a:r>
              <a:rPr lang="en-AU" sz="1400" b="0" i="0" u="none" strike="noStrike" kern="1200" spc="-1" baseline="0">
                <a:solidFill>
                  <a:srgbClr val="595959"/>
                </a:solidFill>
                <a:latin typeface="Calibri"/>
                <a:ea typeface="Calibri"/>
              </a:rPr>
              <a:t>Aspirational</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Empirical!$G$18</c:f>
              <c:strCache>
                <c:ptCount val="1"/>
                <c:pt idx="0">
                  <c:v>Biomass [kg/a]</c:v>
                </c:pt>
              </c:strCache>
            </c:strRef>
          </c:tx>
          <c:spPr>
            <a:solidFill>
              <a:srgbClr val="C0504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BBCD-4499-9A07-3640B7FD8DA7}"/>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BBCD-4499-9A07-3640B7FD8DA7}"/>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BBCD-4499-9A07-3640B7FD8DA7}"/>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BBCD-4499-9A07-3640B7FD8DA7}"/>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BBCD-4499-9A07-3640B7FD8DA7}"/>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BBCD-4499-9A07-3640B7FD8DA7}"/>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BBCD-4499-9A07-3640B7FD8DA7}"/>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BBCD-4499-9A07-3640B7FD8DA7}"/>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BBCD-4499-9A07-3640B7FD8DA7}"/>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BBCD-4499-9A07-3640B7FD8DA7}"/>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BBCD-4499-9A07-3640B7FD8DA7}"/>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BBCD-4499-9A07-3640B7FD8DA7}"/>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BBCD-4499-9A07-3640B7FD8DA7}"/>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BBCD-4499-9A07-3640B7FD8DA7}"/>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BBCD-4499-9A07-3640B7FD8DA7}"/>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BBCD-4499-9A07-3640B7FD8DA7}"/>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BBCD-4499-9A07-3640B7FD8DA7}"/>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BBCD-4499-9A07-3640B7FD8DA7}"/>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BBCD-4499-9A07-3640B7FD8DA7}"/>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BBCD-4499-9A07-3640B7FD8DA7}"/>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BBCD-4499-9A07-3640B7FD8DA7}"/>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BBCD-4499-9A07-3640B7FD8DA7}"/>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Empirical!$A$19:$A$29</c:f>
              <c:strCache>
                <c:ptCount val="11"/>
                <c:pt idx="0">
                  <c:v>CO2 | Photoautotroph (aerobic)</c:v>
                </c:pt>
                <c:pt idx="1">
                  <c:v>CO2 | Lithoautotroph (aerobic)</c:v>
                </c:pt>
                <c:pt idx="2">
                  <c:v>CO | Lithoautotroph (anaerobic)</c:v>
                </c:pt>
                <c:pt idx="3">
                  <c:v>CH4 | Methanotroph (aerobic)</c:v>
                </c:pt>
                <c:pt idx="4">
                  <c:v>VFAs | Heterotroph (aerobic)</c:v>
                </c:pt>
                <c:pt idx="5">
                  <c:v>Wet_Organics | Heterotroph (aerobic)</c:v>
                </c:pt>
                <c:pt idx="7">
                  <c:v>Wet_Organics | Heterotroph (anaerobic)</c:v>
                </c:pt>
                <c:pt idx="8">
                  <c:v>Cellulose | Enzymatic</c:v>
                </c:pt>
                <c:pt idx="9">
                  <c:v>Polyesters | Biochemical</c:v>
                </c:pt>
                <c:pt idx="10">
                  <c:v>Polyamides | Biochemical</c:v>
                </c:pt>
              </c:strCache>
            </c:strRef>
          </c:cat>
          <c:val>
            <c:numRef>
              <c:f>Empirical!$G$19:$G$29</c:f>
              <c:numCache>
                <c:formatCode>0</c:formatCode>
                <c:ptCount val="11"/>
                <c:pt idx="0">
                  <c:v>12.276187569687815</c:v>
                </c:pt>
                <c:pt idx="1">
                  <c:v>36.828562709063448</c:v>
                </c:pt>
                <c:pt idx="2">
                  <c:v>118.5086234025792</c:v>
                </c:pt>
                <c:pt idx="3">
                  <c:v>1514.1128746358061</c:v>
                </c:pt>
                <c:pt idx="4">
                  <c:v>147.25187396999996</c:v>
                </c:pt>
                <c:pt idx="5">
                  <c:v>0</c:v>
                </c:pt>
                <c:pt idx="7">
                  <c:v>#N/A</c:v>
                </c:pt>
                <c:pt idx="8">
                  <c:v>755.51896380000005</c:v>
                </c:pt>
                <c:pt idx="9">
                  <c:v>117.30786600000002</c:v>
                </c:pt>
                <c:pt idx="10">
                  <c:v>57.183577499999998</c:v>
                </c:pt>
              </c:numCache>
            </c:numRef>
          </c:val>
          <c:extLst>
            <c:ext xmlns:c16="http://schemas.microsoft.com/office/drawing/2014/chart" uri="{C3380CC4-5D6E-409C-BE32-E72D297353CC}">
              <c16:uniqueId val="{00000016-BBCD-4499-9A07-3640B7FD8DA7}"/>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Total Biomass [kg/a] (</a:t>
            </a:r>
            <a:r>
              <a:rPr lang="en-AU" sz="1400" b="0" i="0" u="none" strike="noStrike" kern="1200" spc="-1" baseline="0">
                <a:solidFill>
                  <a:srgbClr val="595959"/>
                </a:solidFill>
                <a:latin typeface="Calibri"/>
                <a:ea typeface="Calibri"/>
              </a:rPr>
              <a:t>Baseline</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Empirical!$D$18</c:f>
              <c:strCache>
                <c:ptCount val="1"/>
                <c:pt idx="0">
                  <c:v>Biomass [kg/a]</c:v>
                </c:pt>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A7CB-4EC8-85CB-8D85AB8B657D}"/>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A7CB-4EC8-85CB-8D85AB8B657D}"/>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A7CB-4EC8-85CB-8D85AB8B657D}"/>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A7CB-4EC8-85CB-8D85AB8B657D}"/>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A7CB-4EC8-85CB-8D85AB8B657D}"/>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A7CB-4EC8-85CB-8D85AB8B657D}"/>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A7CB-4EC8-85CB-8D85AB8B657D}"/>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A7CB-4EC8-85CB-8D85AB8B657D}"/>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A7CB-4EC8-85CB-8D85AB8B657D}"/>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A7CB-4EC8-85CB-8D85AB8B657D}"/>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A7CB-4EC8-85CB-8D85AB8B657D}"/>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A7CB-4EC8-85CB-8D85AB8B657D}"/>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A7CB-4EC8-85CB-8D85AB8B657D}"/>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A7CB-4EC8-85CB-8D85AB8B657D}"/>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A7CB-4EC8-85CB-8D85AB8B657D}"/>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A7CB-4EC8-85CB-8D85AB8B657D}"/>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A7CB-4EC8-85CB-8D85AB8B657D}"/>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A7CB-4EC8-85CB-8D85AB8B657D}"/>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A7CB-4EC8-85CB-8D85AB8B657D}"/>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A7CB-4EC8-85CB-8D85AB8B657D}"/>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A7CB-4EC8-85CB-8D85AB8B657D}"/>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A7CB-4EC8-85CB-8D85AB8B657D}"/>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Empirical!$A$19:$A$29</c:f>
              <c:strCache>
                <c:ptCount val="11"/>
                <c:pt idx="0">
                  <c:v>CO2 | Photoautotroph (aerobic)</c:v>
                </c:pt>
                <c:pt idx="1">
                  <c:v>CO2 | Lithoautotroph (aerobic)</c:v>
                </c:pt>
                <c:pt idx="2">
                  <c:v>CO | Lithoautotroph (anaerobic)</c:v>
                </c:pt>
                <c:pt idx="3">
                  <c:v>CH4 | Methanotroph (aerobic)</c:v>
                </c:pt>
                <c:pt idx="4">
                  <c:v>VFAs | Heterotroph (aerobic)</c:v>
                </c:pt>
                <c:pt idx="5">
                  <c:v>Wet_Organics | Heterotroph (aerobic)</c:v>
                </c:pt>
                <c:pt idx="7">
                  <c:v>Wet_Organics | Heterotroph (anaerobic)</c:v>
                </c:pt>
                <c:pt idx="8">
                  <c:v>Cellulose | Enzymatic</c:v>
                </c:pt>
                <c:pt idx="9">
                  <c:v>Polyesters | Biochemical</c:v>
                </c:pt>
                <c:pt idx="10">
                  <c:v>Polyamides | Biochemical</c:v>
                </c:pt>
              </c:strCache>
            </c:strRef>
          </c:cat>
          <c:val>
            <c:numRef>
              <c:f>Empirical!$D$19:$D$29</c:f>
              <c:numCache>
                <c:formatCode>0</c:formatCode>
                <c:ptCount val="11"/>
                <c:pt idx="0">
                  <c:v>255.35900948999998</c:v>
                </c:pt>
                <c:pt idx="1">
                  <c:v>85.119669829999992</c:v>
                </c:pt>
                <c:pt idx="2">
                  <c:v>1.1985031948799996</c:v>
                </c:pt>
                <c:pt idx="3">
                  <c:v>540.66169325772</c:v>
                </c:pt>
                <c:pt idx="4">
                  <c:v>150.27041462400001</c:v>
                </c:pt>
                <c:pt idx="5">
                  <c:v>0</c:v>
                </c:pt>
                <c:pt idx="7">
                  <c:v>#N/A</c:v>
                </c:pt>
                <c:pt idx="8">
                  <c:v>565.10361520000004</c:v>
                </c:pt>
                <c:pt idx="9">
                  <c:v>44.283719415000007</c:v>
                </c:pt>
                <c:pt idx="10">
                  <c:v>52.351162500000001</c:v>
                </c:pt>
              </c:numCache>
            </c:numRef>
          </c:val>
          <c:extLst>
            <c:ext xmlns:c16="http://schemas.microsoft.com/office/drawing/2014/chart" uri="{C3380CC4-5D6E-409C-BE32-E72D297353CC}">
              <c16:uniqueId val="{00000016-A7CB-4EC8-85CB-8D85AB8B657D}"/>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Total Biomass [kg/a] (Aspirational)</a:t>
            </a:r>
          </a:p>
        </c:rich>
      </c:tx>
      <c:overlay val="0"/>
      <c:spPr>
        <a:noFill/>
        <a:ln w="0">
          <a:noFill/>
        </a:ln>
      </c:spPr>
    </c:title>
    <c:autoTitleDeleted val="0"/>
    <c:plotArea>
      <c:layout/>
      <c:pieChart>
        <c:varyColors val="1"/>
        <c:ser>
          <c:idx val="0"/>
          <c:order val="0"/>
          <c:tx>
            <c:strRef>
              <c:f>Scenarios!$H$4</c:f>
              <c:strCache>
                <c:ptCount val="1"/>
                <c:pt idx="0">
                  <c:v>Biomass [kg/a]</c:v>
                </c:pt>
              </c:strCache>
            </c:strRef>
          </c:tx>
          <c:spPr>
            <a:solidFill>
              <a:srgbClr val="C0504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CA5D-4573-A53F-A8F78166E600}"/>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CA5D-4573-A53F-A8F78166E600}"/>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CA5D-4573-A53F-A8F78166E600}"/>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CA5D-4573-A53F-A8F78166E600}"/>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CA5D-4573-A53F-A8F78166E600}"/>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CA5D-4573-A53F-A8F78166E600}"/>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CA5D-4573-A53F-A8F78166E600}"/>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CA5D-4573-A53F-A8F78166E600}"/>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CA5D-4573-A53F-A8F78166E600}"/>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CA5D-4573-A53F-A8F78166E600}"/>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CA5D-4573-A53F-A8F78166E600}"/>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CA5D-4573-A53F-A8F78166E600}"/>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CA5D-4573-A53F-A8F78166E600}"/>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CA5D-4573-A53F-A8F78166E600}"/>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CA5D-4573-A53F-A8F78166E600}"/>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CA5D-4573-A53F-A8F78166E600}"/>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CA5D-4573-A53F-A8F78166E600}"/>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CA5D-4573-A53F-A8F78166E600}"/>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CA5D-4573-A53F-A8F78166E600}"/>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CA5D-4573-A53F-A8F78166E600}"/>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CA5D-4573-A53F-A8F78166E600}"/>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CA5D-4573-A53F-A8F78166E600}"/>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Scenarios!$A$5:$A$15</c:f>
              <c:strCache>
                <c:ptCount val="11"/>
                <c:pt idx="0">
                  <c:v>CO2 | Photoautotroph (aerobic)</c:v>
                </c:pt>
                <c:pt idx="1">
                  <c:v>CO2 | Lithoautotroph (aerobic)</c:v>
                </c:pt>
                <c:pt idx="2">
                  <c:v>CO | Lithoautotroph (anaerobic)</c:v>
                </c:pt>
                <c:pt idx="3">
                  <c:v>CH4 | Methanotroph (aerobic)</c:v>
                </c:pt>
                <c:pt idx="4">
                  <c:v>VFAs | Heterotroph</c:v>
                </c:pt>
                <c:pt idx="5">
                  <c:v>Wet_Organics | Heterotroph</c:v>
                </c:pt>
                <c:pt idx="6">
                  <c:v>Wet_Organics | Mixotroph (aerobic)</c:v>
                </c:pt>
                <c:pt idx="7">
                  <c:v>Wet_Organics | Heterotroph (anaerobic)</c:v>
                </c:pt>
                <c:pt idx="8">
                  <c:v>Cellulose | Enzymatic</c:v>
                </c:pt>
                <c:pt idx="9">
                  <c:v>Polyesters | Biochemical</c:v>
                </c:pt>
                <c:pt idx="10">
                  <c:v>Polyamides | Biochemical</c:v>
                </c:pt>
              </c:strCache>
            </c:strRef>
          </c:cat>
          <c:val>
            <c:numRef>
              <c:f>Scenarios!$H$5:$H$15</c:f>
              <c:numCache>
                <c:formatCode>0</c:formatCode>
                <c:ptCount val="11"/>
                <c:pt idx="0">
                  <c:v>12.27576874934225</c:v>
                </c:pt>
                <c:pt idx="1">
                  <c:v>36.827306248026751</c:v>
                </c:pt>
                <c:pt idx="2">
                  <c:v>115.50548089919999</c:v>
                </c:pt>
                <c:pt idx="3">
                  <c:v>1514.1804303780846</c:v>
                </c:pt>
                <c:pt idx="4">
                  <c:v>125.99646428571428</c:v>
                </c:pt>
                <c:pt idx="5">
                  <c:v>44.209285714285713</c:v>
                </c:pt>
                <c:pt idx="6">
                  <c:v>179.04760714285717</c:v>
                </c:pt>
                <c:pt idx="7">
                  <c:v>0</c:v>
                </c:pt>
                <c:pt idx="8">
                  <c:v>594.42876774193542</c:v>
                </c:pt>
                <c:pt idx="9">
                  <c:v>218.31488709677421</c:v>
                </c:pt>
                <c:pt idx="10">
                  <c:v>77.942177419354834</c:v>
                </c:pt>
              </c:numCache>
            </c:numRef>
          </c:val>
          <c:extLst>
            <c:ext xmlns:c16="http://schemas.microsoft.com/office/drawing/2014/chart" uri="{C3380CC4-5D6E-409C-BE32-E72D297353CC}">
              <c16:uniqueId val="{00000016-CA5D-4573-A53F-A8F78166E600}"/>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Total Biomass [kg/a] (</a:t>
            </a:r>
            <a:r>
              <a:rPr lang="en-AU" sz="1400" b="0" i="0" u="none" strike="noStrike" kern="1200" spc="-1" baseline="0">
                <a:solidFill>
                  <a:srgbClr val="595959"/>
                </a:solidFill>
                <a:latin typeface="Calibri"/>
                <a:ea typeface="Calibri"/>
              </a:rPr>
              <a:t>Baseline</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Scenarios!$C$4</c:f>
              <c:strCache>
                <c:ptCount val="1"/>
                <c:pt idx="0">
                  <c:v>Biomass [kg/a]</c:v>
                </c:pt>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2AE7-4F6C-9AE5-FF90B2C3AE72}"/>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2AE7-4F6C-9AE5-FF90B2C3AE72}"/>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2AE7-4F6C-9AE5-FF90B2C3AE72}"/>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2AE7-4F6C-9AE5-FF90B2C3AE72}"/>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2AE7-4F6C-9AE5-FF90B2C3AE72}"/>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2AE7-4F6C-9AE5-FF90B2C3AE72}"/>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2AE7-4F6C-9AE5-FF90B2C3AE72}"/>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2AE7-4F6C-9AE5-FF90B2C3AE72}"/>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2AE7-4F6C-9AE5-FF90B2C3AE72}"/>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2AE7-4F6C-9AE5-FF90B2C3AE72}"/>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2AE7-4F6C-9AE5-FF90B2C3AE72}"/>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2AE7-4F6C-9AE5-FF90B2C3AE72}"/>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2AE7-4F6C-9AE5-FF90B2C3AE72}"/>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2AE7-4F6C-9AE5-FF90B2C3AE72}"/>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2AE7-4F6C-9AE5-FF90B2C3AE72}"/>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2AE7-4F6C-9AE5-FF90B2C3AE72}"/>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2AE7-4F6C-9AE5-FF90B2C3AE72}"/>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2AE7-4F6C-9AE5-FF90B2C3AE72}"/>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2AE7-4F6C-9AE5-FF90B2C3AE72}"/>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2AE7-4F6C-9AE5-FF90B2C3AE72}"/>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2AE7-4F6C-9AE5-FF90B2C3AE72}"/>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2AE7-4F6C-9AE5-FF90B2C3AE72}"/>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Scenarios!$A$5:$A$15</c:f>
              <c:strCache>
                <c:ptCount val="11"/>
                <c:pt idx="0">
                  <c:v>CO2 | Photoautotroph (aerobic)</c:v>
                </c:pt>
                <c:pt idx="1">
                  <c:v>CO2 | Lithoautotroph (aerobic)</c:v>
                </c:pt>
                <c:pt idx="2">
                  <c:v>CO | Lithoautotroph (anaerobic)</c:v>
                </c:pt>
                <c:pt idx="3">
                  <c:v>CH4 | Methanotroph (aerobic)</c:v>
                </c:pt>
                <c:pt idx="4">
                  <c:v>VFAs | Heterotroph</c:v>
                </c:pt>
                <c:pt idx="5">
                  <c:v>Wet_Organics | Heterotroph</c:v>
                </c:pt>
                <c:pt idx="6">
                  <c:v>Wet_Organics | Mixotroph (aerobic)</c:v>
                </c:pt>
                <c:pt idx="7">
                  <c:v>Wet_Organics | Heterotroph (anaerobic)</c:v>
                </c:pt>
                <c:pt idx="8">
                  <c:v>Cellulose | Enzymatic</c:v>
                </c:pt>
                <c:pt idx="9">
                  <c:v>Polyesters | Biochemical</c:v>
                </c:pt>
                <c:pt idx="10">
                  <c:v>Polyamides | Biochemical</c:v>
                </c:pt>
              </c:strCache>
            </c:strRef>
          </c:cat>
          <c:val>
            <c:numRef>
              <c:f>Scenarios!$C$5:$C$15</c:f>
              <c:numCache>
                <c:formatCode>0</c:formatCode>
                <c:ptCount val="11"/>
                <c:pt idx="0">
                  <c:v>279.29891662968748</c:v>
                </c:pt>
                <c:pt idx="1">
                  <c:v>103.17535736969697</c:v>
                </c:pt>
                <c:pt idx="2">
                  <c:v>10.599969294339617</c:v>
                </c:pt>
                <c:pt idx="3">
                  <c:v>350.70637019901648</c:v>
                </c:pt>
                <c:pt idx="4">
                  <c:v>150.21033049180329</c:v>
                </c:pt>
                <c:pt idx="5">
                  <c:v>23.180606557377054</c:v>
                </c:pt>
                <c:pt idx="6">
                  <c:v>8.8858991803278702</c:v>
                </c:pt>
                <c:pt idx="7">
                  <c:v>0</c:v>
                </c:pt>
                <c:pt idx="8">
                  <c:v>511.86921666666672</c:v>
                </c:pt>
                <c:pt idx="9">
                  <c:v>187.99337500000004</c:v>
                </c:pt>
                <c:pt idx="10">
                  <c:v>67.116875000000007</c:v>
                </c:pt>
              </c:numCache>
            </c:numRef>
          </c:val>
          <c:extLst>
            <c:ext xmlns:c16="http://schemas.microsoft.com/office/drawing/2014/chart" uri="{C3380CC4-5D6E-409C-BE32-E72D297353CC}">
              <c16:uniqueId val="{00000016-2AE7-4F6C-9AE5-FF90B2C3AE72}"/>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Total Biomass [kg/a] (</a:t>
            </a:r>
            <a:r>
              <a:rPr lang="en-AU" sz="1400" b="0" i="0" u="none" strike="noStrike" kern="1200" spc="-1" baseline="0">
                <a:solidFill>
                  <a:srgbClr val="595959"/>
                </a:solidFill>
                <a:latin typeface="Calibri"/>
                <a:ea typeface="Calibri"/>
              </a:rPr>
              <a:t>Baseline</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Scenarios!$D$4</c:f>
              <c:strCache>
                <c:ptCount val="1"/>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9036-4CC2-BC09-7429F032B6A3}"/>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9036-4CC2-BC09-7429F032B6A3}"/>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9036-4CC2-BC09-7429F032B6A3}"/>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9036-4CC2-BC09-7429F032B6A3}"/>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9036-4CC2-BC09-7429F032B6A3}"/>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9036-4CC2-BC09-7429F032B6A3}"/>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9036-4CC2-BC09-7429F032B6A3}"/>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9036-4CC2-BC09-7429F032B6A3}"/>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9036-4CC2-BC09-7429F032B6A3}"/>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9036-4CC2-BC09-7429F032B6A3}"/>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9036-4CC2-BC09-7429F032B6A3}"/>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9036-4CC2-BC09-7429F032B6A3}"/>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9036-4CC2-BC09-7429F032B6A3}"/>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9036-4CC2-BC09-7429F032B6A3}"/>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9036-4CC2-BC09-7429F032B6A3}"/>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9036-4CC2-BC09-7429F032B6A3}"/>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9036-4CC2-BC09-7429F032B6A3}"/>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9036-4CC2-BC09-7429F032B6A3}"/>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9036-4CC2-BC09-7429F032B6A3}"/>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9036-4CC2-BC09-7429F032B6A3}"/>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9036-4CC2-BC09-7429F032B6A3}"/>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9036-4CC2-BC09-7429F032B6A3}"/>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Scenarios!$A$5:$A$15</c:f>
              <c:strCache>
                <c:ptCount val="11"/>
                <c:pt idx="0">
                  <c:v>CO2 | Photoautotroph (aerobic)</c:v>
                </c:pt>
                <c:pt idx="1">
                  <c:v>CO2 | Lithoautotroph (aerobic)</c:v>
                </c:pt>
                <c:pt idx="2">
                  <c:v>CO | Lithoautotroph (anaerobic)</c:v>
                </c:pt>
                <c:pt idx="3">
                  <c:v>CH4 | Methanotroph (aerobic)</c:v>
                </c:pt>
                <c:pt idx="4">
                  <c:v>VFAs | Heterotroph</c:v>
                </c:pt>
                <c:pt idx="5">
                  <c:v>Wet_Organics | Heterotroph</c:v>
                </c:pt>
                <c:pt idx="6">
                  <c:v>Wet_Organics | Mixotroph (aerobic)</c:v>
                </c:pt>
                <c:pt idx="7">
                  <c:v>Wet_Organics | Heterotroph (anaerobic)</c:v>
                </c:pt>
                <c:pt idx="8">
                  <c:v>Cellulose | Enzymatic</c:v>
                </c:pt>
                <c:pt idx="9">
                  <c:v>Polyesters | Biochemical</c:v>
                </c:pt>
                <c:pt idx="10">
                  <c:v>Polyamides | Biochemical</c:v>
                </c:pt>
              </c:strCache>
            </c:strRef>
          </c:cat>
          <c:val>
            <c:numRef>
              <c:f>Scenarios!$D$5:$D$15</c:f>
              <c:numCache>
                <c:formatCode>0</c:formatCode>
                <c:ptCount val="11"/>
                <c:pt idx="0">
                  <c:v>255.35900948999998</c:v>
                </c:pt>
                <c:pt idx="1">
                  <c:v>85.119669829999992</c:v>
                </c:pt>
                <c:pt idx="2">
                  <c:v>1.1985031948799996</c:v>
                </c:pt>
                <c:pt idx="3">
                  <c:v>540.66169325772</c:v>
                </c:pt>
                <c:pt idx="4">
                  <c:v>150.27041462400001</c:v>
                </c:pt>
                <c:pt idx="5">
                  <c:v>0</c:v>
                </c:pt>
                <c:pt idx="6">
                  <c:v>0</c:v>
                </c:pt>
                <c:pt idx="7">
                  <c:v>#N/A</c:v>
                </c:pt>
                <c:pt idx="8">
                  <c:v>565.10361520000004</c:v>
                </c:pt>
                <c:pt idx="9">
                  <c:v>44.283719415000007</c:v>
                </c:pt>
                <c:pt idx="10">
                  <c:v>52.351162500000001</c:v>
                </c:pt>
              </c:numCache>
            </c:numRef>
          </c:val>
          <c:extLst>
            <c:ext xmlns:c16="http://schemas.microsoft.com/office/drawing/2014/chart" uri="{C3380CC4-5D6E-409C-BE32-E72D297353CC}">
              <c16:uniqueId val="{00000016-9036-4CC2-BC09-7429F032B6A3}"/>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Total Biomass [kg/a] (</a:t>
            </a:r>
            <a:r>
              <a:rPr lang="en-AU" sz="1400" b="0" i="0" u="none" strike="noStrike" kern="1200" spc="-1" baseline="0">
                <a:solidFill>
                  <a:srgbClr val="595959"/>
                </a:solidFill>
                <a:latin typeface="Calibri"/>
                <a:ea typeface="Calibri"/>
              </a:rPr>
              <a:t>Aspirational</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Scenarios!$I$4</c:f>
              <c:strCache>
                <c:ptCount val="1"/>
              </c:strCache>
            </c:strRef>
          </c:tx>
          <c:spPr>
            <a:solidFill>
              <a:srgbClr val="C0504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CBC1-4D55-A829-2AFA9677D32E}"/>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CBC1-4D55-A829-2AFA9677D32E}"/>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CBC1-4D55-A829-2AFA9677D32E}"/>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CBC1-4D55-A829-2AFA9677D32E}"/>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CBC1-4D55-A829-2AFA9677D32E}"/>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CBC1-4D55-A829-2AFA9677D32E}"/>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CBC1-4D55-A829-2AFA9677D32E}"/>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CBC1-4D55-A829-2AFA9677D32E}"/>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CBC1-4D55-A829-2AFA9677D32E}"/>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CBC1-4D55-A829-2AFA9677D32E}"/>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CBC1-4D55-A829-2AFA9677D32E}"/>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CBC1-4D55-A829-2AFA9677D32E}"/>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CBC1-4D55-A829-2AFA9677D32E}"/>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CBC1-4D55-A829-2AFA9677D32E}"/>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CBC1-4D55-A829-2AFA9677D32E}"/>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CBC1-4D55-A829-2AFA9677D32E}"/>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CBC1-4D55-A829-2AFA9677D32E}"/>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CBC1-4D55-A829-2AFA9677D32E}"/>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CBC1-4D55-A829-2AFA9677D32E}"/>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CBC1-4D55-A829-2AFA9677D32E}"/>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CBC1-4D55-A829-2AFA9677D32E}"/>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CBC1-4D55-A829-2AFA9677D32E}"/>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Scenarios!$A$5:$A$15</c:f>
              <c:strCache>
                <c:ptCount val="11"/>
                <c:pt idx="0">
                  <c:v>CO2 | Photoautotroph (aerobic)</c:v>
                </c:pt>
                <c:pt idx="1">
                  <c:v>CO2 | Lithoautotroph (aerobic)</c:v>
                </c:pt>
                <c:pt idx="2">
                  <c:v>CO | Lithoautotroph (anaerobic)</c:v>
                </c:pt>
                <c:pt idx="3">
                  <c:v>CH4 | Methanotroph (aerobic)</c:v>
                </c:pt>
                <c:pt idx="4">
                  <c:v>VFAs | Heterotroph</c:v>
                </c:pt>
                <c:pt idx="5">
                  <c:v>Wet_Organics | Heterotroph</c:v>
                </c:pt>
                <c:pt idx="6">
                  <c:v>Wet_Organics | Mixotroph (aerobic)</c:v>
                </c:pt>
                <c:pt idx="7">
                  <c:v>Wet_Organics | Heterotroph (anaerobic)</c:v>
                </c:pt>
                <c:pt idx="8">
                  <c:v>Cellulose | Enzymatic</c:v>
                </c:pt>
                <c:pt idx="9">
                  <c:v>Polyesters | Biochemical</c:v>
                </c:pt>
                <c:pt idx="10">
                  <c:v>Polyamides | Biochemical</c:v>
                </c:pt>
              </c:strCache>
            </c:strRef>
          </c:cat>
          <c:val>
            <c:numRef>
              <c:f>Scenarios!$I$5:$I$15</c:f>
              <c:numCache>
                <c:formatCode>0</c:formatCode>
                <c:ptCount val="11"/>
                <c:pt idx="0">
                  <c:v>12.276187569687815</c:v>
                </c:pt>
                <c:pt idx="1">
                  <c:v>36.828562709063448</c:v>
                </c:pt>
                <c:pt idx="2">
                  <c:v>118.5086234025792</c:v>
                </c:pt>
                <c:pt idx="3">
                  <c:v>1514.1128746358061</c:v>
                </c:pt>
                <c:pt idx="4">
                  <c:v>147.25187396999996</c:v>
                </c:pt>
                <c:pt idx="5">
                  <c:v>0</c:v>
                </c:pt>
                <c:pt idx="6">
                  <c:v>0</c:v>
                </c:pt>
                <c:pt idx="7">
                  <c:v>#N/A</c:v>
                </c:pt>
                <c:pt idx="8">
                  <c:v>755.51896380000005</c:v>
                </c:pt>
                <c:pt idx="9">
                  <c:v>117.30786600000002</c:v>
                </c:pt>
                <c:pt idx="10">
                  <c:v>57.183577499999998</c:v>
                </c:pt>
              </c:numCache>
            </c:numRef>
          </c:val>
          <c:extLst>
            <c:ext xmlns:c16="http://schemas.microsoft.com/office/drawing/2014/chart" uri="{C3380CC4-5D6E-409C-BE32-E72D297353CC}">
              <c16:uniqueId val="{00000016-CBC1-4D55-A829-2AFA9677D32E}"/>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Reactor Volumes [L] (</a:t>
            </a:r>
            <a:r>
              <a:rPr lang="en-AU" sz="1400" b="0" i="0" u="none" strike="noStrike" kern="1200" spc="-1" baseline="0">
                <a:solidFill>
                  <a:srgbClr val="595959"/>
                </a:solidFill>
                <a:latin typeface="Calibri"/>
                <a:ea typeface="Calibri"/>
              </a:rPr>
              <a:t>Baseline</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Scenarios!$E$4</c:f>
              <c:strCache>
                <c:ptCount val="1"/>
                <c:pt idx="0">
                  <c:v>Reactor Volume [L]</c:v>
                </c:pt>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30B4-4049-B91B-C348E2F59F03}"/>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30B4-4049-B91B-C348E2F59F03}"/>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30B4-4049-B91B-C348E2F59F03}"/>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30B4-4049-B91B-C348E2F59F03}"/>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30B4-4049-B91B-C348E2F59F03}"/>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30B4-4049-B91B-C348E2F59F03}"/>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30B4-4049-B91B-C348E2F59F03}"/>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30B4-4049-B91B-C348E2F59F03}"/>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30B4-4049-B91B-C348E2F59F03}"/>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30B4-4049-B91B-C348E2F59F03}"/>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30B4-4049-B91B-C348E2F59F03}"/>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30B4-4049-B91B-C348E2F59F03}"/>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30B4-4049-B91B-C348E2F59F03}"/>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30B4-4049-B91B-C348E2F59F03}"/>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30B4-4049-B91B-C348E2F59F03}"/>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30B4-4049-B91B-C348E2F59F03}"/>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30B4-4049-B91B-C348E2F59F03}"/>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30B4-4049-B91B-C348E2F59F03}"/>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30B4-4049-B91B-C348E2F59F03}"/>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30B4-4049-B91B-C348E2F59F03}"/>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30B4-4049-B91B-C348E2F59F03}"/>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30B4-4049-B91B-C348E2F59F03}"/>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Scenarios!$A$5:$A$15</c:f>
              <c:strCache>
                <c:ptCount val="11"/>
                <c:pt idx="0">
                  <c:v>CO2 | Photoautotroph (aerobic)</c:v>
                </c:pt>
                <c:pt idx="1">
                  <c:v>CO2 | Lithoautotroph (aerobic)</c:v>
                </c:pt>
                <c:pt idx="2">
                  <c:v>CO | Lithoautotroph (anaerobic)</c:v>
                </c:pt>
                <c:pt idx="3">
                  <c:v>CH4 | Methanotroph (aerobic)</c:v>
                </c:pt>
                <c:pt idx="4">
                  <c:v>VFAs | Heterotroph</c:v>
                </c:pt>
                <c:pt idx="5">
                  <c:v>Wet_Organics | Heterotroph</c:v>
                </c:pt>
                <c:pt idx="6">
                  <c:v>Wet_Organics | Mixotroph (aerobic)</c:v>
                </c:pt>
                <c:pt idx="7">
                  <c:v>Wet_Organics | Heterotroph (anaerobic)</c:v>
                </c:pt>
                <c:pt idx="8">
                  <c:v>Cellulose | Enzymatic</c:v>
                </c:pt>
                <c:pt idx="9">
                  <c:v>Polyesters | Biochemical</c:v>
                </c:pt>
                <c:pt idx="10">
                  <c:v>Polyamides | Biochemical</c:v>
                </c:pt>
              </c:strCache>
            </c:strRef>
          </c:cat>
          <c:val>
            <c:numRef>
              <c:f>Scenarios!$E$5:$E$15</c:f>
              <c:numCache>
                <c:formatCode>0</c:formatCode>
                <c:ptCount val="11"/>
                <c:pt idx="0">
                  <c:v>4664.0914975342457</c:v>
                </c:pt>
                <c:pt idx="1">
                  <c:v>878.39004075209164</c:v>
                </c:pt>
                <c:pt idx="2">
                  <c:v>64.863255477593668</c:v>
                </c:pt>
                <c:pt idx="3">
                  <c:v>726.03181148880026</c:v>
                </c:pt>
                <c:pt idx="4">
                  <c:v>103.65506837852999</c:v>
                </c:pt>
                <c:pt idx="5">
                  <c:v>15.996152527550926</c:v>
                </c:pt>
                <c:pt idx="6">
                  <c:v>5.3320508425169759</c:v>
                </c:pt>
                <c:pt idx="7">
                  <c:v>1690.4810958904109</c:v>
                </c:pt>
                <c:pt idx="8">
                  <c:v>1529.8706351183062</c:v>
                </c:pt>
                <c:pt idx="9">
                  <c:v>1329.1621741051704</c:v>
                </c:pt>
                <c:pt idx="10">
                  <c:v>2372.6690234202383</c:v>
                </c:pt>
              </c:numCache>
            </c:numRef>
          </c:val>
          <c:extLst>
            <c:ext xmlns:c16="http://schemas.microsoft.com/office/drawing/2014/chart" uri="{C3380CC4-5D6E-409C-BE32-E72D297353CC}">
              <c16:uniqueId val="{00000016-30B4-4049-B91B-C348E2F59F03}"/>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Reactor Volumes [L] (</a:t>
            </a:r>
            <a:r>
              <a:rPr lang="en-AU" sz="1400" b="0" i="0" u="none" strike="noStrike" kern="1200" spc="-1" baseline="0">
                <a:solidFill>
                  <a:srgbClr val="595959"/>
                </a:solidFill>
                <a:latin typeface="Calibri"/>
                <a:ea typeface="Calibri"/>
              </a:rPr>
              <a:t>Aspirational</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Scenarios!$J$4</c:f>
              <c:strCache>
                <c:ptCount val="1"/>
                <c:pt idx="0">
                  <c:v>Reactor Volume [L]</c:v>
                </c:pt>
              </c:strCache>
            </c:strRef>
          </c:tx>
          <c:spPr>
            <a:solidFill>
              <a:srgbClr val="C0504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B204-47C1-943B-7BC2A268C213}"/>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B204-47C1-943B-7BC2A268C213}"/>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B204-47C1-943B-7BC2A268C213}"/>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B204-47C1-943B-7BC2A268C213}"/>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B204-47C1-943B-7BC2A268C213}"/>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B204-47C1-943B-7BC2A268C213}"/>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B204-47C1-943B-7BC2A268C213}"/>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B204-47C1-943B-7BC2A268C213}"/>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B204-47C1-943B-7BC2A268C213}"/>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B204-47C1-943B-7BC2A268C213}"/>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B204-47C1-943B-7BC2A268C213}"/>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B204-47C1-943B-7BC2A268C213}"/>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B204-47C1-943B-7BC2A268C213}"/>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B204-47C1-943B-7BC2A268C213}"/>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B204-47C1-943B-7BC2A268C213}"/>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B204-47C1-943B-7BC2A268C213}"/>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B204-47C1-943B-7BC2A268C213}"/>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B204-47C1-943B-7BC2A268C213}"/>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B204-47C1-943B-7BC2A268C213}"/>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B204-47C1-943B-7BC2A268C213}"/>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B204-47C1-943B-7BC2A268C213}"/>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B204-47C1-943B-7BC2A268C213}"/>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Scenarios!$A$5:$A$15</c:f>
              <c:strCache>
                <c:ptCount val="11"/>
                <c:pt idx="0">
                  <c:v>CO2 | Photoautotroph (aerobic)</c:v>
                </c:pt>
                <c:pt idx="1">
                  <c:v>CO2 | Lithoautotroph (aerobic)</c:v>
                </c:pt>
                <c:pt idx="2">
                  <c:v>CO | Lithoautotroph (anaerobic)</c:v>
                </c:pt>
                <c:pt idx="3">
                  <c:v>CH4 | Methanotroph (aerobic)</c:v>
                </c:pt>
                <c:pt idx="4">
                  <c:v>VFAs | Heterotroph</c:v>
                </c:pt>
                <c:pt idx="5">
                  <c:v>Wet_Organics | Heterotroph</c:v>
                </c:pt>
                <c:pt idx="6">
                  <c:v>Wet_Organics | Mixotroph (aerobic)</c:v>
                </c:pt>
                <c:pt idx="7">
                  <c:v>Wet_Organics | Heterotroph (anaerobic)</c:v>
                </c:pt>
                <c:pt idx="8">
                  <c:v>Cellulose | Enzymatic</c:v>
                </c:pt>
                <c:pt idx="9">
                  <c:v>Polyesters | Biochemical</c:v>
                </c:pt>
                <c:pt idx="10">
                  <c:v>Polyamides | Biochemical</c:v>
                </c:pt>
              </c:strCache>
            </c:strRef>
          </c:cat>
          <c:val>
            <c:numRef>
              <c:f>Scenarios!$J$5:$J$15</c:f>
              <c:numCache>
                <c:formatCode>0</c:formatCode>
                <c:ptCount val="11"/>
                <c:pt idx="0">
                  <c:v>25.247734352662778</c:v>
                </c:pt>
                <c:pt idx="1">
                  <c:v>24.890753090994593</c:v>
                </c:pt>
                <c:pt idx="2">
                  <c:v>40.507658915840196</c:v>
                </c:pt>
                <c:pt idx="3">
                  <c:v>513.63066450342865</c:v>
                </c:pt>
                <c:pt idx="4">
                  <c:v>17.095888013820044</c:v>
                </c:pt>
                <c:pt idx="5">
                  <c:v>5.9985571978315955</c:v>
                </c:pt>
                <c:pt idx="6">
                  <c:v>17.995671593494787</c:v>
                </c:pt>
                <c:pt idx="7">
                  <c:v>234.78904109589041</c:v>
                </c:pt>
                <c:pt idx="8">
                  <c:v>210.25776608804981</c:v>
                </c:pt>
                <c:pt idx="9">
                  <c:v>82.353591619263014</c:v>
                </c:pt>
                <c:pt idx="10">
                  <c:v>147.00825799077023</c:v>
                </c:pt>
              </c:numCache>
            </c:numRef>
          </c:val>
          <c:extLst>
            <c:ext xmlns:c16="http://schemas.microsoft.com/office/drawing/2014/chart" uri="{C3380CC4-5D6E-409C-BE32-E72D297353CC}">
              <c16:uniqueId val="{00000016-B204-47C1-943B-7BC2A268C213}"/>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Reactor Volumes [L] (Baseline)</a:t>
            </a:r>
          </a:p>
        </c:rich>
      </c:tx>
      <c:overlay val="0"/>
      <c:spPr>
        <a:noFill/>
        <a:ln w="0">
          <a:noFill/>
        </a:ln>
      </c:spPr>
    </c:title>
    <c:autoTitleDeleted val="0"/>
    <c:plotArea>
      <c:layout/>
      <c:pieChart>
        <c:varyColors val="1"/>
        <c:ser>
          <c:idx val="0"/>
          <c:order val="0"/>
          <c:tx>
            <c:strRef>
              <c:f>Scenarios!$F$4</c:f>
              <c:strCache>
                <c:ptCount val="1"/>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5028-4DB2-9548-D89767F0E59B}"/>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5028-4DB2-9548-D89767F0E59B}"/>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5028-4DB2-9548-D89767F0E59B}"/>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5028-4DB2-9548-D89767F0E59B}"/>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5028-4DB2-9548-D89767F0E59B}"/>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5028-4DB2-9548-D89767F0E59B}"/>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5028-4DB2-9548-D89767F0E59B}"/>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5028-4DB2-9548-D89767F0E59B}"/>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5028-4DB2-9548-D89767F0E59B}"/>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5028-4DB2-9548-D89767F0E59B}"/>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5028-4DB2-9548-D89767F0E59B}"/>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5028-4DB2-9548-D89767F0E59B}"/>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5028-4DB2-9548-D89767F0E59B}"/>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5028-4DB2-9548-D89767F0E59B}"/>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5028-4DB2-9548-D89767F0E59B}"/>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5028-4DB2-9548-D89767F0E59B}"/>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5028-4DB2-9548-D89767F0E59B}"/>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5028-4DB2-9548-D89767F0E59B}"/>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5028-4DB2-9548-D89767F0E59B}"/>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5028-4DB2-9548-D89767F0E59B}"/>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5028-4DB2-9548-D89767F0E59B}"/>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5028-4DB2-9548-D89767F0E59B}"/>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Scenarios!$A$5:$A$15</c:f>
              <c:strCache>
                <c:ptCount val="11"/>
                <c:pt idx="0">
                  <c:v>CO2 | Photoautotroph (aerobic)</c:v>
                </c:pt>
                <c:pt idx="1">
                  <c:v>CO2 | Lithoautotroph (aerobic)</c:v>
                </c:pt>
                <c:pt idx="2">
                  <c:v>CO | Lithoautotroph (anaerobic)</c:v>
                </c:pt>
                <c:pt idx="3">
                  <c:v>CH4 | Methanotroph (aerobic)</c:v>
                </c:pt>
                <c:pt idx="4">
                  <c:v>VFAs | Heterotroph</c:v>
                </c:pt>
                <c:pt idx="5">
                  <c:v>Wet_Organics | Heterotroph</c:v>
                </c:pt>
                <c:pt idx="6">
                  <c:v>Wet_Organics | Mixotroph (aerobic)</c:v>
                </c:pt>
                <c:pt idx="7">
                  <c:v>Wet_Organics | Heterotroph (anaerobic)</c:v>
                </c:pt>
                <c:pt idx="8">
                  <c:v>Cellulose | Enzymatic</c:v>
                </c:pt>
                <c:pt idx="9">
                  <c:v>Polyesters | Biochemical</c:v>
                </c:pt>
                <c:pt idx="10">
                  <c:v>Polyamides | Biochemical</c:v>
                </c:pt>
              </c:strCache>
            </c:strRef>
          </c:cat>
          <c:val>
            <c:numRef>
              <c:f>Scenarios!$F$5:$F$15</c:f>
              <c:numCache>
                <c:formatCode>0</c:formatCode>
                <c:ptCount val="11"/>
                <c:pt idx="0">
                  <c:v>1890.8479044057754</c:v>
                </c:pt>
                <c:pt idx="1">
                  <c:v>50.696646712328764</c:v>
                </c:pt>
                <c:pt idx="2">
                  <c:v>6.9863199934712883</c:v>
                </c:pt>
                <c:pt idx="3">
                  <c:v>2743.0831722867574</c:v>
                </c:pt>
                <c:pt idx="4">
                  <c:v>391.16367324764911</c:v>
                </c:pt>
                <c:pt idx="5">
                  <c:v>#N/A</c:v>
                </c:pt>
                <c:pt idx="6">
                  <c:v>#N/A</c:v>
                </c:pt>
                <c:pt idx="7">
                  <c:v>347.83561643835611</c:v>
                </c:pt>
                <c:pt idx="8">
                  <c:v>2345.8016405147368</c:v>
                </c:pt>
                <c:pt idx="9">
                  <c:v>3466.4359620352247</c:v>
                </c:pt>
                <c:pt idx="10">
                  <c:v>14342.784246575344</c:v>
                </c:pt>
              </c:numCache>
            </c:numRef>
          </c:val>
          <c:extLst>
            <c:ext xmlns:c16="http://schemas.microsoft.com/office/drawing/2014/chart" uri="{C3380CC4-5D6E-409C-BE32-E72D297353CC}">
              <c16:uniqueId val="{00000016-5028-4DB2-9548-D89767F0E59B}"/>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400" b="0" strike="noStrike" spc="-1">
                <a:solidFill>
                  <a:srgbClr val="595959"/>
                </a:solidFill>
                <a:latin typeface="Calibri"/>
                <a:ea typeface="Calibri"/>
              </a:defRPr>
            </a:pPr>
            <a:r>
              <a:rPr lang="en-AU" sz="1400" b="0" strike="noStrike" spc="-1">
                <a:solidFill>
                  <a:srgbClr val="595959"/>
                </a:solidFill>
                <a:latin typeface="Calibri"/>
                <a:ea typeface="Calibri"/>
              </a:rPr>
              <a:t>Reactor Volumes [L] (</a:t>
            </a:r>
            <a:r>
              <a:rPr lang="en-AU" sz="1400" b="0" i="0" u="none" strike="noStrike" kern="1200" spc="-1" baseline="0">
                <a:solidFill>
                  <a:srgbClr val="595959"/>
                </a:solidFill>
                <a:latin typeface="Calibri"/>
                <a:ea typeface="Calibri"/>
              </a:rPr>
              <a:t>Aspirational</a:t>
            </a:r>
            <a:r>
              <a:rPr lang="en-AU" sz="1400" b="0" strike="noStrike" spc="-1">
                <a:solidFill>
                  <a:srgbClr val="595959"/>
                </a:solidFill>
                <a:latin typeface="Calibri"/>
                <a:ea typeface="Calibri"/>
              </a:rPr>
              <a:t>)</a:t>
            </a:r>
          </a:p>
        </c:rich>
      </c:tx>
      <c:overlay val="0"/>
      <c:spPr>
        <a:noFill/>
        <a:ln w="0">
          <a:noFill/>
        </a:ln>
      </c:spPr>
    </c:title>
    <c:autoTitleDeleted val="0"/>
    <c:plotArea>
      <c:layout/>
      <c:pieChart>
        <c:varyColors val="1"/>
        <c:ser>
          <c:idx val="0"/>
          <c:order val="0"/>
          <c:tx>
            <c:strRef>
              <c:f>Scenarios!$K$4</c:f>
              <c:strCache>
                <c:ptCount val="1"/>
              </c:strCache>
            </c:strRef>
          </c:tx>
          <c:spPr>
            <a:solidFill>
              <a:srgbClr val="C0504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50B6-4C2B-A1EB-239648180181}"/>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50B6-4C2B-A1EB-239648180181}"/>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50B6-4C2B-A1EB-239648180181}"/>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50B6-4C2B-A1EB-239648180181}"/>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50B6-4C2B-A1EB-239648180181}"/>
              </c:ext>
            </c:extLst>
          </c:dPt>
          <c:dPt>
            <c:idx val="5"/>
            <c:bubble3D val="0"/>
            <c:spPr>
              <a:solidFill>
                <a:srgbClr val="F79646"/>
              </a:solidFill>
              <a:ln w="19080">
                <a:solidFill>
                  <a:srgbClr val="FFFFFF"/>
                </a:solidFill>
                <a:round/>
              </a:ln>
            </c:spPr>
            <c:extLst>
              <c:ext xmlns:c16="http://schemas.microsoft.com/office/drawing/2014/chart" uri="{C3380CC4-5D6E-409C-BE32-E72D297353CC}">
                <c16:uniqueId val="{0000000B-50B6-4C2B-A1EB-239648180181}"/>
              </c:ext>
            </c:extLst>
          </c:dPt>
          <c:dPt>
            <c:idx val="6"/>
            <c:bubble3D val="0"/>
            <c:spPr>
              <a:solidFill>
                <a:srgbClr val="2C4D75"/>
              </a:solidFill>
              <a:ln w="19080">
                <a:solidFill>
                  <a:srgbClr val="FFFFFF"/>
                </a:solidFill>
                <a:round/>
              </a:ln>
            </c:spPr>
            <c:extLst>
              <c:ext xmlns:c16="http://schemas.microsoft.com/office/drawing/2014/chart" uri="{C3380CC4-5D6E-409C-BE32-E72D297353CC}">
                <c16:uniqueId val="{0000000D-50B6-4C2B-A1EB-239648180181}"/>
              </c:ext>
            </c:extLst>
          </c:dPt>
          <c:dPt>
            <c:idx val="7"/>
            <c:bubble3D val="0"/>
            <c:spPr>
              <a:solidFill>
                <a:srgbClr val="772C2A"/>
              </a:solidFill>
              <a:ln w="19080">
                <a:solidFill>
                  <a:srgbClr val="FFFFFF"/>
                </a:solidFill>
                <a:round/>
              </a:ln>
            </c:spPr>
            <c:extLst>
              <c:ext xmlns:c16="http://schemas.microsoft.com/office/drawing/2014/chart" uri="{C3380CC4-5D6E-409C-BE32-E72D297353CC}">
                <c16:uniqueId val="{0000000F-50B6-4C2B-A1EB-239648180181}"/>
              </c:ext>
            </c:extLst>
          </c:dPt>
          <c:dPt>
            <c:idx val="8"/>
            <c:bubble3D val="0"/>
            <c:spPr>
              <a:solidFill>
                <a:srgbClr val="5F7530"/>
              </a:solidFill>
              <a:ln w="19080">
                <a:solidFill>
                  <a:srgbClr val="FFFFFF"/>
                </a:solidFill>
                <a:round/>
              </a:ln>
            </c:spPr>
            <c:extLst>
              <c:ext xmlns:c16="http://schemas.microsoft.com/office/drawing/2014/chart" uri="{C3380CC4-5D6E-409C-BE32-E72D297353CC}">
                <c16:uniqueId val="{00000011-50B6-4C2B-A1EB-239648180181}"/>
              </c:ext>
            </c:extLst>
          </c:dPt>
          <c:dPt>
            <c:idx val="9"/>
            <c:bubble3D val="0"/>
            <c:spPr>
              <a:solidFill>
                <a:srgbClr val="4D3B62"/>
              </a:solidFill>
              <a:ln w="19080">
                <a:solidFill>
                  <a:srgbClr val="FFFFFF"/>
                </a:solidFill>
                <a:round/>
              </a:ln>
            </c:spPr>
            <c:extLst>
              <c:ext xmlns:c16="http://schemas.microsoft.com/office/drawing/2014/chart" uri="{C3380CC4-5D6E-409C-BE32-E72D297353CC}">
                <c16:uniqueId val="{00000013-50B6-4C2B-A1EB-239648180181}"/>
              </c:ext>
            </c:extLst>
          </c:dPt>
          <c:dPt>
            <c:idx val="10"/>
            <c:bubble3D val="0"/>
            <c:spPr>
              <a:solidFill>
                <a:srgbClr val="276A7C"/>
              </a:solidFill>
              <a:ln w="19080">
                <a:solidFill>
                  <a:srgbClr val="FFFFFF"/>
                </a:solidFill>
                <a:round/>
              </a:ln>
            </c:spPr>
            <c:extLst>
              <c:ext xmlns:c16="http://schemas.microsoft.com/office/drawing/2014/chart" uri="{C3380CC4-5D6E-409C-BE32-E72D297353CC}">
                <c16:uniqueId val="{00000015-50B6-4C2B-A1EB-239648180181}"/>
              </c:ext>
            </c:extLst>
          </c:dPt>
          <c:dLbls>
            <c:dLbl>
              <c:idx val="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50B6-4C2B-A1EB-239648180181}"/>
                </c:ext>
              </c:extLst>
            </c:dLbl>
            <c:dLbl>
              <c:idx val="1"/>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50B6-4C2B-A1EB-239648180181}"/>
                </c:ext>
              </c:extLst>
            </c:dLbl>
            <c:dLbl>
              <c:idx val="2"/>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50B6-4C2B-A1EB-239648180181}"/>
                </c:ext>
              </c:extLst>
            </c:dLbl>
            <c:dLbl>
              <c:idx val="3"/>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50B6-4C2B-A1EB-239648180181}"/>
                </c:ext>
              </c:extLst>
            </c:dLbl>
            <c:dLbl>
              <c:idx val="4"/>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9-50B6-4C2B-A1EB-239648180181}"/>
                </c:ext>
              </c:extLst>
            </c:dLbl>
            <c:dLbl>
              <c:idx val="5"/>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B-50B6-4C2B-A1EB-239648180181}"/>
                </c:ext>
              </c:extLst>
            </c:dLbl>
            <c:dLbl>
              <c:idx val="6"/>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D-50B6-4C2B-A1EB-239648180181}"/>
                </c:ext>
              </c:extLst>
            </c:dLbl>
            <c:dLbl>
              <c:idx val="7"/>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F-50B6-4C2B-A1EB-239648180181}"/>
                </c:ext>
              </c:extLst>
            </c:dLbl>
            <c:dLbl>
              <c:idx val="8"/>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1-50B6-4C2B-A1EB-239648180181}"/>
                </c:ext>
              </c:extLst>
            </c:dLbl>
            <c:dLbl>
              <c:idx val="9"/>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3-50B6-4C2B-A1EB-239648180181}"/>
                </c:ext>
              </c:extLst>
            </c:dLbl>
            <c:dLbl>
              <c:idx val="10"/>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15-50B6-4C2B-A1EB-239648180181}"/>
                </c:ext>
              </c:extLst>
            </c:dLbl>
            <c:spPr>
              <a:noFill/>
              <a:ln>
                <a:noFill/>
              </a:ln>
              <a:effectLst/>
            </c:spPr>
            <c:txPr>
              <a:bodyPr wrap="square"/>
              <a:lstStyle/>
              <a:p>
                <a:pPr>
                  <a:defRPr sz="1000" b="1" strike="noStrike" spc="-1">
                    <a:solidFill>
                      <a:srgbClr val="404040"/>
                    </a:solidFill>
                    <a:latin typeface="Calibri"/>
                    <a:ea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Scenarios!$A$5:$A$15</c:f>
              <c:strCache>
                <c:ptCount val="11"/>
                <c:pt idx="0">
                  <c:v>CO2 | Photoautotroph (aerobic)</c:v>
                </c:pt>
                <c:pt idx="1">
                  <c:v>CO2 | Lithoautotroph (aerobic)</c:v>
                </c:pt>
                <c:pt idx="2">
                  <c:v>CO | Lithoautotroph (anaerobic)</c:v>
                </c:pt>
                <c:pt idx="3">
                  <c:v>CH4 | Methanotroph (aerobic)</c:v>
                </c:pt>
                <c:pt idx="4">
                  <c:v>VFAs | Heterotroph</c:v>
                </c:pt>
                <c:pt idx="5">
                  <c:v>Wet_Organics | Heterotroph</c:v>
                </c:pt>
                <c:pt idx="6">
                  <c:v>Wet_Organics | Mixotroph (aerobic)</c:v>
                </c:pt>
                <c:pt idx="7">
                  <c:v>Wet_Organics | Heterotroph (anaerobic)</c:v>
                </c:pt>
                <c:pt idx="8">
                  <c:v>Cellulose | Enzymatic</c:v>
                </c:pt>
                <c:pt idx="9">
                  <c:v>Polyesters | Biochemical</c:v>
                </c:pt>
                <c:pt idx="10">
                  <c:v>Polyamides | Biochemical</c:v>
                </c:pt>
              </c:strCache>
            </c:strRef>
          </c:cat>
          <c:val>
            <c:numRef>
              <c:f>Scenarios!$K$5:$K$15</c:f>
              <c:numCache>
                <c:formatCode>0</c:formatCode>
                <c:ptCount val="11"/>
                <c:pt idx="0">
                  <c:v>15.939995545916789</c:v>
                </c:pt>
                <c:pt idx="1">
                  <c:v>1.8439358882612076</c:v>
                </c:pt>
                <c:pt idx="2">
                  <c:v>204.20198742582787</c:v>
                </c:pt>
                <c:pt idx="3">
                  <c:v>744.74945261346545</c:v>
                </c:pt>
                <c:pt idx="4">
                  <c:v>43.449627538893921</c:v>
                </c:pt>
                <c:pt idx="5">
                  <c:v>#N/A</c:v>
                </c:pt>
                <c:pt idx="6">
                  <c:v>#N/A</c:v>
                </c:pt>
                <c:pt idx="7">
                  <c:v>52.175342465753417</c:v>
                </c:pt>
                <c:pt idx="8">
                  <c:v>344.98582821917807</c:v>
                </c:pt>
                <c:pt idx="9">
                  <c:v>3807.9551386093617</c:v>
                </c:pt>
                <c:pt idx="10">
                  <c:v>203.4640722291407</c:v>
                </c:pt>
              </c:numCache>
            </c:numRef>
          </c:val>
          <c:extLst>
            <c:ext xmlns:c16="http://schemas.microsoft.com/office/drawing/2014/chart" uri="{C3380CC4-5D6E-409C-BE32-E72D297353CC}">
              <c16:uniqueId val="{00000016-50B6-4C2B-A1EB-239648180181}"/>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Scenarios!$A$5</c:f>
              <c:strCache>
                <c:ptCount val="1"/>
                <c:pt idx="0">
                  <c:v>CO2 | Photoautotroph (aerobic)</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(Scenarios!$C$5,Scenarios!$H$5)</c:f>
              <c:numCache>
                <c:formatCode>0</c:formatCode>
                <c:ptCount val="2"/>
                <c:pt idx="0">
                  <c:v>279.29891662968748</c:v>
                </c:pt>
                <c:pt idx="1">
                  <c:v>12.27576874934225</c:v>
                </c:pt>
              </c:numCache>
            </c:numRef>
          </c:val>
          <c:extLst>
            <c:ext xmlns:c16="http://schemas.microsoft.com/office/drawing/2014/chart" uri="{C3380CC4-5D6E-409C-BE32-E72D297353CC}">
              <c16:uniqueId val="{00000000-68DE-4AD2-965E-B8C8D43A3F57}"/>
            </c:ext>
          </c:extLst>
        </c:ser>
        <c:ser>
          <c:idx val="1"/>
          <c:order val="1"/>
          <c:tx>
            <c:strRef>
              <c:f>Scenarios!$A$6</c:f>
              <c:strCache>
                <c:ptCount val="1"/>
                <c:pt idx="0">
                  <c:v>CO2 | Lithoautotroph (aerobic)</c:v>
                </c:pt>
              </c:strCache>
            </c:strRef>
          </c:tx>
          <c:spPr>
            <a:solidFill>
              <a:srgbClr val="C0504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(Scenarios!$C$6,Scenarios!$H$6)</c:f>
              <c:numCache>
                <c:formatCode>0</c:formatCode>
                <c:ptCount val="2"/>
                <c:pt idx="0">
                  <c:v>103.17535736969697</c:v>
                </c:pt>
                <c:pt idx="1">
                  <c:v>36.827306248026751</c:v>
                </c:pt>
              </c:numCache>
            </c:numRef>
          </c:val>
          <c:extLst>
            <c:ext xmlns:c16="http://schemas.microsoft.com/office/drawing/2014/chart" uri="{C3380CC4-5D6E-409C-BE32-E72D297353CC}">
              <c16:uniqueId val="{00000001-68DE-4AD2-965E-B8C8D43A3F57}"/>
            </c:ext>
          </c:extLst>
        </c:ser>
        <c:ser>
          <c:idx val="2"/>
          <c:order val="2"/>
          <c:tx>
            <c:strRef>
              <c:f>Scenarios!$A$7</c:f>
              <c:strCache>
                <c:ptCount val="1"/>
                <c:pt idx="0">
                  <c:v>CO | Lithoautotroph (anaerobic)</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(Scenarios!$C$7,Scenarios!$H$7)</c:f>
              <c:numCache>
                <c:formatCode>0</c:formatCode>
                <c:ptCount val="2"/>
                <c:pt idx="0">
                  <c:v>10.599969294339617</c:v>
                </c:pt>
                <c:pt idx="1">
                  <c:v>115.50548089919999</c:v>
                </c:pt>
              </c:numCache>
            </c:numRef>
          </c:val>
          <c:extLst>
            <c:ext xmlns:c16="http://schemas.microsoft.com/office/drawing/2014/chart" uri="{C3380CC4-5D6E-409C-BE32-E72D297353CC}">
              <c16:uniqueId val="{00000002-68DE-4AD2-965E-B8C8D43A3F57}"/>
            </c:ext>
          </c:extLst>
        </c:ser>
        <c:ser>
          <c:idx val="3"/>
          <c:order val="3"/>
          <c:tx>
            <c:strRef>
              <c:f>Scenarios!$A$8</c:f>
              <c:strCache>
                <c:ptCount val="1"/>
                <c:pt idx="0">
                  <c:v>CH4 | Methanotroph (aerobic)</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(Scenarios!$C$8,Scenarios!$H$8)</c:f>
              <c:numCache>
                <c:formatCode>0</c:formatCode>
                <c:ptCount val="2"/>
                <c:pt idx="0">
                  <c:v>350.70637019901648</c:v>
                </c:pt>
                <c:pt idx="1">
                  <c:v>1514.1804303780846</c:v>
                </c:pt>
              </c:numCache>
            </c:numRef>
          </c:val>
          <c:extLst>
            <c:ext xmlns:c16="http://schemas.microsoft.com/office/drawing/2014/chart" uri="{C3380CC4-5D6E-409C-BE32-E72D297353CC}">
              <c16:uniqueId val="{00000003-68DE-4AD2-965E-B8C8D43A3F57}"/>
            </c:ext>
          </c:extLst>
        </c:ser>
        <c:ser>
          <c:idx val="4"/>
          <c:order val="4"/>
          <c:tx>
            <c:strRef>
              <c:f>Scenarios!$A$9</c:f>
              <c:strCache>
                <c:ptCount val="1"/>
                <c:pt idx="0">
                  <c:v>VFAs | Heterotroph</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(Scenarios!$C$9,Scenarios!$H$9)</c:f>
              <c:numCache>
                <c:formatCode>0</c:formatCode>
                <c:ptCount val="2"/>
                <c:pt idx="0">
                  <c:v>150.21033049180329</c:v>
                </c:pt>
                <c:pt idx="1">
                  <c:v>125.99646428571428</c:v>
                </c:pt>
              </c:numCache>
            </c:numRef>
          </c:val>
          <c:extLst>
            <c:ext xmlns:c16="http://schemas.microsoft.com/office/drawing/2014/chart" uri="{C3380CC4-5D6E-409C-BE32-E72D297353CC}">
              <c16:uniqueId val="{00000004-68DE-4AD2-965E-B8C8D43A3F57}"/>
            </c:ext>
          </c:extLst>
        </c:ser>
        <c:ser>
          <c:idx val="5"/>
          <c:order val="5"/>
          <c:tx>
            <c:strRef>
              <c:f>Scenarios!$A$10</c:f>
              <c:strCache>
                <c:ptCount val="1"/>
                <c:pt idx="0">
                  <c:v>Wet_Organics | Heterotroph</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(Scenarios!$C$10,Scenarios!$H$10)</c:f>
              <c:numCache>
                <c:formatCode>0</c:formatCode>
                <c:ptCount val="2"/>
                <c:pt idx="0">
                  <c:v>23.180606557377054</c:v>
                </c:pt>
                <c:pt idx="1">
                  <c:v>44.209285714285713</c:v>
                </c:pt>
              </c:numCache>
            </c:numRef>
          </c:val>
          <c:extLst>
            <c:ext xmlns:c16="http://schemas.microsoft.com/office/drawing/2014/chart" uri="{C3380CC4-5D6E-409C-BE32-E72D297353CC}">
              <c16:uniqueId val="{00000005-68DE-4AD2-965E-B8C8D43A3F57}"/>
            </c:ext>
          </c:extLst>
        </c:ser>
        <c:ser>
          <c:idx val="6"/>
          <c:order val="6"/>
          <c:tx>
            <c:strRef>
              <c:f>Scenarios!$A$11</c:f>
              <c:strCache>
                <c:ptCount val="1"/>
                <c:pt idx="0">
                  <c:v>Wet_Organics | Mixotroph (aerobic)</c:v>
                </c:pt>
              </c:strCache>
            </c:strRef>
          </c:tx>
          <c:spPr>
            <a:solidFill>
              <a:srgbClr val="2C4D75"/>
            </a:solidFill>
            <a:ln w="0">
              <a:noFill/>
            </a:ln>
          </c:spPr>
          <c:invertIfNegative val="0"/>
          <c:dPt>
            <c:idx val="0"/>
            <c:invertIfNegative val="0"/>
            <c:bubble3D val="0"/>
            <c:spPr>
              <a:solidFill>
                <a:srgbClr val="93A9CE"/>
              </a:solidFill>
              <a:ln w="0">
                <a:noFill/>
              </a:ln>
            </c:spPr>
            <c:extLst>
              <c:ext xmlns:c16="http://schemas.microsoft.com/office/drawing/2014/chart" uri="{C3380CC4-5D6E-409C-BE32-E72D297353CC}">
                <c16:uniqueId val="{00000007-68DE-4AD2-965E-B8C8D43A3F57}"/>
              </c:ext>
            </c:extLst>
          </c:dPt>
          <c:dLbls>
            <c:dLbl>
              <c:idx val="0"/>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68DE-4AD2-965E-B8C8D43A3F57}"/>
                </c:ext>
              </c:extLst>
            </c:dLbl>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(Scenarios!$C$11,Scenarios!$H$11)</c:f>
              <c:numCache>
                <c:formatCode>0</c:formatCode>
                <c:ptCount val="2"/>
                <c:pt idx="0">
                  <c:v>8.8858991803278702</c:v>
                </c:pt>
                <c:pt idx="1">
                  <c:v>179.04760714285717</c:v>
                </c:pt>
              </c:numCache>
            </c:numRef>
          </c:val>
          <c:extLst>
            <c:ext xmlns:c16="http://schemas.microsoft.com/office/drawing/2014/chart" uri="{C3380CC4-5D6E-409C-BE32-E72D297353CC}">
              <c16:uniqueId val="{00000008-68DE-4AD2-965E-B8C8D43A3F57}"/>
            </c:ext>
          </c:extLst>
        </c:ser>
        <c:ser>
          <c:idx val="7"/>
          <c:order val="7"/>
          <c:tx>
            <c:strRef>
              <c:f>Scenarios!$A$13</c:f>
              <c:strCache>
                <c:ptCount val="1"/>
                <c:pt idx="0">
                  <c:v>Cellulose | Enzymatic</c:v>
                </c:pt>
              </c:strCache>
            </c:strRef>
          </c:tx>
          <c:spPr>
            <a:solidFill>
              <a:srgbClr val="5F7530"/>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(Scenarios!$C$13,Scenarios!$H$13)</c:f>
              <c:numCache>
                <c:formatCode>0</c:formatCode>
                <c:ptCount val="2"/>
                <c:pt idx="0">
                  <c:v>511.86921666666672</c:v>
                </c:pt>
                <c:pt idx="1">
                  <c:v>594.42876774193542</c:v>
                </c:pt>
              </c:numCache>
            </c:numRef>
          </c:val>
          <c:extLst>
            <c:ext xmlns:c16="http://schemas.microsoft.com/office/drawing/2014/chart" uri="{C3380CC4-5D6E-409C-BE32-E72D297353CC}">
              <c16:uniqueId val="{00000009-68DE-4AD2-965E-B8C8D43A3F57}"/>
            </c:ext>
          </c:extLst>
        </c:ser>
        <c:ser>
          <c:idx val="8"/>
          <c:order val="8"/>
          <c:tx>
            <c:strRef>
              <c:f>Scenarios!$A$14</c:f>
              <c:strCache>
                <c:ptCount val="1"/>
                <c:pt idx="0">
                  <c:v>Polyesters | Biochemical</c:v>
                </c:pt>
              </c:strCache>
            </c:strRef>
          </c:tx>
          <c:spPr>
            <a:solidFill>
              <a:srgbClr val="4D3B6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(Scenarios!$C$14,Scenarios!$H$14)</c:f>
              <c:numCache>
                <c:formatCode>0</c:formatCode>
                <c:ptCount val="2"/>
                <c:pt idx="0">
                  <c:v>187.99337500000004</c:v>
                </c:pt>
                <c:pt idx="1">
                  <c:v>218.31488709677421</c:v>
                </c:pt>
              </c:numCache>
            </c:numRef>
          </c:val>
          <c:extLst>
            <c:ext xmlns:c16="http://schemas.microsoft.com/office/drawing/2014/chart" uri="{C3380CC4-5D6E-409C-BE32-E72D297353CC}">
              <c16:uniqueId val="{0000000A-68DE-4AD2-965E-B8C8D43A3F57}"/>
            </c:ext>
          </c:extLst>
        </c:ser>
        <c:ser>
          <c:idx val="9"/>
          <c:order val="9"/>
          <c:tx>
            <c:strRef>
              <c:f>Scenarios!$A$15</c:f>
              <c:strCache>
                <c:ptCount val="1"/>
                <c:pt idx="0">
                  <c:v>Polyamides | Biochemical</c:v>
                </c:pt>
              </c:strCache>
            </c:strRef>
          </c:tx>
          <c:spPr>
            <a:solidFill>
              <a:srgbClr val="276A7C"/>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(Scenarios!$C$15,Scenarios!$H$15)</c:f>
              <c:numCache>
                <c:formatCode>0</c:formatCode>
                <c:ptCount val="2"/>
                <c:pt idx="0">
                  <c:v>67.116875000000007</c:v>
                </c:pt>
                <c:pt idx="1">
                  <c:v>77.942177419354834</c:v>
                </c:pt>
              </c:numCache>
            </c:numRef>
          </c:val>
          <c:extLst>
            <c:ext xmlns:c16="http://schemas.microsoft.com/office/drawing/2014/chart" uri="{C3380CC4-5D6E-409C-BE32-E72D297353CC}">
              <c16:uniqueId val="{0000000B-68DE-4AD2-965E-B8C8D43A3F57}"/>
            </c:ext>
          </c:extLst>
        </c:ser>
        <c:dLbls>
          <c:showLegendKey val="0"/>
          <c:showVal val="0"/>
          <c:showCatName val="0"/>
          <c:showSerName val="0"/>
          <c:showPercent val="0"/>
          <c:showBubbleSize val="0"/>
        </c:dLbls>
        <c:gapWidth val="150"/>
        <c:overlap val="100"/>
        <c:axId val="41960524"/>
        <c:axId val="41784302"/>
      </c:barChart>
      <c:catAx>
        <c:axId val="4196052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000" b="1" strike="noStrike" spc="-1">
                <a:solidFill>
                  <a:srgbClr val="595959"/>
                </a:solidFill>
                <a:latin typeface="Calibri"/>
                <a:ea typeface="Calibri"/>
              </a:defRPr>
            </a:pPr>
            <a:endParaRPr lang="en-US"/>
          </a:p>
        </c:txPr>
        <c:crossAx val="41784302"/>
        <c:crosses val="autoZero"/>
        <c:auto val="1"/>
        <c:lblAlgn val="ctr"/>
        <c:lblOffset val="100"/>
        <c:noMultiLvlLbl val="0"/>
      </c:catAx>
      <c:valAx>
        <c:axId val="41784302"/>
        <c:scaling>
          <c:orientation val="minMax"/>
        </c:scaling>
        <c:delete val="0"/>
        <c:axPos val="l"/>
        <c:majorGridlines>
          <c:spPr>
            <a:ln w="6480">
              <a:solidFill>
                <a:srgbClr val="D9D9D9"/>
              </a:solidFill>
              <a:round/>
            </a:ln>
          </c:spPr>
        </c:majorGridlines>
        <c:title>
          <c:tx>
            <c:rich>
              <a:bodyPr rot="-5400000"/>
              <a:lstStyle/>
              <a:p>
                <a:pPr>
                  <a:defRPr lang="en-AU" sz="1000" b="1" strike="noStrike" spc="-1">
                    <a:solidFill>
                      <a:srgbClr val="595959"/>
                    </a:solidFill>
                    <a:latin typeface="Calibri"/>
                    <a:ea typeface="Calibri"/>
                  </a:defRPr>
                </a:pPr>
                <a:r>
                  <a:rPr lang="en-AU" sz="1000" b="1" strike="noStrike" spc="-1">
                    <a:solidFill>
                      <a:srgbClr val="595959"/>
                    </a:solidFill>
                    <a:latin typeface="Calibri"/>
                    <a:ea typeface="Calibri"/>
                  </a:rPr>
                  <a:t>Biomass [kg/a]</a:t>
                </a:r>
              </a:p>
            </c:rich>
          </c:tx>
          <c:overlay val="0"/>
          <c:spPr>
            <a:noFill/>
            <a:ln w="0">
              <a:noFill/>
            </a:ln>
          </c:spPr>
        </c:title>
        <c:numFmt formatCode="0" sourceLinked="0"/>
        <c:majorTickMark val="none"/>
        <c:minorTickMark val="none"/>
        <c:tickLblPos val="nextTo"/>
        <c:spPr>
          <a:ln w="9360">
            <a:noFill/>
          </a:ln>
        </c:spPr>
        <c:txPr>
          <a:bodyPr/>
          <a:lstStyle/>
          <a:p>
            <a:pPr>
              <a:defRPr sz="1000" b="0" strike="noStrike" spc="-1">
                <a:solidFill>
                  <a:srgbClr val="595959"/>
                </a:solidFill>
                <a:latin typeface="Calibri"/>
                <a:ea typeface="Calibri"/>
              </a:defRPr>
            </a:pPr>
            <a:endParaRPr lang="en-US"/>
          </a:p>
        </c:txPr>
        <c:crossAx val="41960524"/>
        <c:crosses val="autoZero"/>
        <c:crossBetween val="between"/>
      </c:valAx>
      <c:spPr>
        <a:noFill/>
        <a:ln w="0">
          <a:noFill/>
        </a:ln>
      </c:spPr>
    </c:plotArea>
    <c:legend>
      <c:legendPos val="b"/>
      <c:overlay val="0"/>
      <c:spPr>
        <a:noFill/>
        <a:ln w="0">
          <a:noFill/>
        </a:ln>
      </c:spPr>
      <c:txPr>
        <a:bodyPr/>
        <a:lstStyle/>
        <a:p>
          <a:pPr>
            <a:defRPr sz="10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Scenarios!$A$5</c:f>
              <c:strCache>
                <c:ptCount val="1"/>
                <c:pt idx="0">
                  <c:v>CO2 | Photoautotroph (aerobic)</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(Scenarios!$E$5,Scenarios!$J$5)</c:f>
              <c:numCache>
                <c:formatCode>0</c:formatCode>
                <c:ptCount val="2"/>
                <c:pt idx="0">
                  <c:v>4664.0914975342457</c:v>
                </c:pt>
                <c:pt idx="1">
                  <c:v>25.247734352662778</c:v>
                </c:pt>
              </c:numCache>
            </c:numRef>
          </c:val>
          <c:extLst>
            <c:ext xmlns:c16="http://schemas.microsoft.com/office/drawing/2014/chart" uri="{C3380CC4-5D6E-409C-BE32-E72D297353CC}">
              <c16:uniqueId val="{00000000-BD52-458E-8E67-03DD4EAB8246}"/>
            </c:ext>
          </c:extLst>
        </c:ser>
        <c:ser>
          <c:idx val="1"/>
          <c:order val="1"/>
          <c:tx>
            <c:strRef>
              <c:f>Scenarios!$A$6</c:f>
              <c:strCache>
                <c:ptCount val="1"/>
                <c:pt idx="0">
                  <c:v>CO2 | Lithoautotroph (aerobic)</c:v>
                </c:pt>
              </c:strCache>
            </c:strRef>
          </c:tx>
          <c:spPr>
            <a:solidFill>
              <a:srgbClr val="C0504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(Scenarios!$E$6,Scenarios!$J$6)</c:f>
              <c:numCache>
                <c:formatCode>0</c:formatCode>
                <c:ptCount val="2"/>
                <c:pt idx="0">
                  <c:v>878.39004075209164</c:v>
                </c:pt>
                <c:pt idx="1">
                  <c:v>24.890753090994593</c:v>
                </c:pt>
              </c:numCache>
            </c:numRef>
          </c:val>
          <c:extLst>
            <c:ext xmlns:c16="http://schemas.microsoft.com/office/drawing/2014/chart" uri="{C3380CC4-5D6E-409C-BE32-E72D297353CC}">
              <c16:uniqueId val="{00000001-BD52-458E-8E67-03DD4EAB8246}"/>
            </c:ext>
          </c:extLst>
        </c:ser>
        <c:ser>
          <c:idx val="2"/>
          <c:order val="2"/>
          <c:tx>
            <c:strRef>
              <c:f>Scenarios!$A$7</c:f>
              <c:strCache>
                <c:ptCount val="1"/>
                <c:pt idx="0">
                  <c:v>CO | Lithoautotroph (anaerobic)</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(Scenarios!$E$7,Scenarios!$J$7)</c:f>
              <c:numCache>
                <c:formatCode>0</c:formatCode>
                <c:ptCount val="2"/>
                <c:pt idx="0">
                  <c:v>64.863255477593668</c:v>
                </c:pt>
                <c:pt idx="1">
                  <c:v>40.507658915840196</c:v>
                </c:pt>
              </c:numCache>
            </c:numRef>
          </c:val>
          <c:extLst>
            <c:ext xmlns:c16="http://schemas.microsoft.com/office/drawing/2014/chart" uri="{C3380CC4-5D6E-409C-BE32-E72D297353CC}">
              <c16:uniqueId val="{00000002-BD52-458E-8E67-03DD4EAB8246}"/>
            </c:ext>
          </c:extLst>
        </c:ser>
        <c:ser>
          <c:idx val="3"/>
          <c:order val="3"/>
          <c:tx>
            <c:strRef>
              <c:f>Scenarios!$A$8</c:f>
              <c:strCache>
                <c:ptCount val="1"/>
                <c:pt idx="0">
                  <c:v>CH4 | Methanotroph (aerobic)</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(Scenarios!$E$8,Scenarios!$J$8)</c:f>
              <c:numCache>
                <c:formatCode>0</c:formatCode>
                <c:ptCount val="2"/>
                <c:pt idx="0">
                  <c:v>726.03181148880026</c:v>
                </c:pt>
                <c:pt idx="1">
                  <c:v>513.63066450342865</c:v>
                </c:pt>
              </c:numCache>
            </c:numRef>
          </c:val>
          <c:extLst>
            <c:ext xmlns:c16="http://schemas.microsoft.com/office/drawing/2014/chart" uri="{C3380CC4-5D6E-409C-BE32-E72D297353CC}">
              <c16:uniqueId val="{00000003-BD52-458E-8E67-03DD4EAB8246}"/>
            </c:ext>
          </c:extLst>
        </c:ser>
        <c:ser>
          <c:idx val="4"/>
          <c:order val="4"/>
          <c:tx>
            <c:strRef>
              <c:f>Scenarios!$A$9</c:f>
              <c:strCache>
                <c:ptCount val="1"/>
                <c:pt idx="0">
                  <c:v>VFAs | Heterotroph</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(Scenarios!$E$9,Scenarios!$J$9)</c:f>
              <c:numCache>
                <c:formatCode>0</c:formatCode>
                <c:ptCount val="2"/>
                <c:pt idx="0">
                  <c:v>103.65506837852999</c:v>
                </c:pt>
                <c:pt idx="1">
                  <c:v>17.095888013820044</c:v>
                </c:pt>
              </c:numCache>
            </c:numRef>
          </c:val>
          <c:extLst>
            <c:ext xmlns:c16="http://schemas.microsoft.com/office/drawing/2014/chart" uri="{C3380CC4-5D6E-409C-BE32-E72D297353CC}">
              <c16:uniqueId val="{00000004-BD52-458E-8E67-03DD4EAB8246}"/>
            </c:ext>
          </c:extLst>
        </c:ser>
        <c:ser>
          <c:idx val="5"/>
          <c:order val="5"/>
          <c:tx>
            <c:strRef>
              <c:f>Scenarios!$A$10</c:f>
              <c:strCache>
                <c:ptCount val="1"/>
                <c:pt idx="0">
                  <c:v>Wet_Organics | Heterotroph</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(Scenarios!$E$10,Scenarios!$J$10)</c:f>
              <c:numCache>
                <c:formatCode>0</c:formatCode>
                <c:ptCount val="2"/>
                <c:pt idx="0">
                  <c:v>15.996152527550926</c:v>
                </c:pt>
                <c:pt idx="1">
                  <c:v>5.9985571978315955</c:v>
                </c:pt>
              </c:numCache>
            </c:numRef>
          </c:val>
          <c:extLst>
            <c:ext xmlns:c16="http://schemas.microsoft.com/office/drawing/2014/chart" uri="{C3380CC4-5D6E-409C-BE32-E72D297353CC}">
              <c16:uniqueId val="{00000005-BD52-458E-8E67-03DD4EAB8246}"/>
            </c:ext>
          </c:extLst>
        </c:ser>
        <c:ser>
          <c:idx val="6"/>
          <c:order val="6"/>
          <c:tx>
            <c:strRef>
              <c:f>Scenarios!$A$11</c:f>
              <c:strCache>
                <c:ptCount val="1"/>
                <c:pt idx="0">
                  <c:v>Wet_Organics | Mixotroph (aerobic)</c:v>
                </c:pt>
              </c:strCache>
            </c:strRef>
          </c:tx>
          <c:spPr>
            <a:solidFill>
              <a:srgbClr val="2C4D75"/>
            </a:solidFill>
            <a:ln w="0">
              <a:noFill/>
            </a:ln>
          </c:spPr>
          <c:invertIfNegative val="0"/>
          <c:dPt>
            <c:idx val="0"/>
            <c:invertIfNegative val="0"/>
            <c:bubble3D val="0"/>
            <c:spPr>
              <a:solidFill>
                <a:srgbClr val="93A9CE"/>
              </a:solidFill>
              <a:ln w="0">
                <a:noFill/>
              </a:ln>
            </c:spPr>
            <c:extLst>
              <c:ext xmlns:c16="http://schemas.microsoft.com/office/drawing/2014/chart" uri="{C3380CC4-5D6E-409C-BE32-E72D297353CC}">
                <c16:uniqueId val="{00000007-BD52-458E-8E67-03DD4EAB8246}"/>
              </c:ext>
            </c:extLst>
          </c:dPt>
          <c:dLbls>
            <c:dLbl>
              <c:idx val="0"/>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BD52-458E-8E67-03DD4EAB8246}"/>
                </c:ext>
              </c:extLst>
            </c:dLbl>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(Scenarios!$E$11,Scenarios!$J$11)</c:f>
              <c:numCache>
                <c:formatCode>0</c:formatCode>
                <c:ptCount val="2"/>
                <c:pt idx="0">
                  <c:v>5.3320508425169759</c:v>
                </c:pt>
                <c:pt idx="1">
                  <c:v>17.995671593494787</c:v>
                </c:pt>
              </c:numCache>
            </c:numRef>
          </c:val>
          <c:extLst>
            <c:ext xmlns:c16="http://schemas.microsoft.com/office/drawing/2014/chart" uri="{C3380CC4-5D6E-409C-BE32-E72D297353CC}">
              <c16:uniqueId val="{00000008-BD52-458E-8E67-03DD4EAB8246}"/>
            </c:ext>
          </c:extLst>
        </c:ser>
        <c:ser>
          <c:idx val="7"/>
          <c:order val="7"/>
          <c:tx>
            <c:strRef>
              <c:f>Scenarios!$A$13</c:f>
              <c:strCache>
                <c:ptCount val="1"/>
                <c:pt idx="0">
                  <c:v>Cellulose | Enzymatic</c:v>
                </c:pt>
              </c:strCache>
            </c:strRef>
          </c:tx>
          <c:spPr>
            <a:solidFill>
              <a:srgbClr val="5F7530"/>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(Scenarios!$E$13,Scenarios!$J$13)</c:f>
              <c:numCache>
                <c:formatCode>0</c:formatCode>
                <c:ptCount val="2"/>
                <c:pt idx="0">
                  <c:v>1529.8706351183062</c:v>
                </c:pt>
                <c:pt idx="1">
                  <c:v>210.25776608804981</c:v>
                </c:pt>
              </c:numCache>
            </c:numRef>
          </c:val>
          <c:extLst>
            <c:ext xmlns:c16="http://schemas.microsoft.com/office/drawing/2014/chart" uri="{C3380CC4-5D6E-409C-BE32-E72D297353CC}">
              <c16:uniqueId val="{00000009-BD52-458E-8E67-03DD4EAB8246}"/>
            </c:ext>
          </c:extLst>
        </c:ser>
        <c:ser>
          <c:idx val="8"/>
          <c:order val="8"/>
          <c:tx>
            <c:strRef>
              <c:f>Scenarios!$A$14</c:f>
              <c:strCache>
                <c:ptCount val="1"/>
                <c:pt idx="0">
                  <c:v>Polyesters | Biochemical</c:v>
                </c:pt>
              </c:strCache>
            </c:strRef>
          </c:tx>
          <c:spPr>
            <a:solidFill>
              <a:srgbClr val="4D3B6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(Scenarios!$E$14,Scenarios!$J$14)</c:f>
              <c:numCache>
                <c:formatCode>0</c:formatCode>
                <c:ptCount val="2"/>
                <c:pt idx="0">
                  <c:v>1329.1621741051704</c:v>
                </c:pt>
                <c:pt idx="1">
                  <c:v>82.353591619263014</c:v>
                </c:pt>
              </c:numCache>
            </c:numRef>
          </c:val>
          <c:extLst>
            <c:ext xmlns:c16="http://schemas.microsoft.com/office/drawing/2014/chart" uri="{C3380CC4-5D6E-409C-BE32-E72D297353CC}">
              <c16:uniqueId val="{0000000A-BD52-458E-8E67-03DD4EAB8246}"/>
            </c:ext>
          </c:extLst>
        </c:ser>
        <c:ser>
          <c:idx val="9"/>
          <c:order val="9"/>
          <c:tx>
            <c:strRef>
              <c:f>Scenarios!$A$15</c:f>
              <c:strCache>
                <c:ptCount val="1"/>
                <c:pt idx="0">
                  <c:v>Polyamides | Biochemical</c:v>
                </c:pt>
              </c:strCache>
            </c:strRef>
          </c:tx>
          <c:spPr>
            <a:solidFill>
              <a:srgbClr val="276A7C"/>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(Scenarios!$E$15,Scenarios!$J$15)</c:f>
              <c:numCache>
                <c:formatCode>0</c:formatCode>
                <c:ptCount val="2"/>
                <c:pt idx="0">
                  <c:v>2372.6690234202383</c:v>
                </c:pt>
                <c:pt idx="1">
                  <c:v>147.00825799077023</c:v>
                </c:pt>
              </c:numCache>
            </c:numRef>
          </c:val>
          <c:extLst>
            <c:ext xmlns:c16="http://schemas.microsoft.com/office/drawing/2014/chart" uri="{C3380CC4-5D6E-409C-BE32-E72D297353CC}">
              <c16:uniqueId val="{0000000B-BD52-458E-8E67-03DD4EAB8246}"/>
            </c:ext>
          </c:extLst>
        </c:ser>
        <c:dLbls>
          <c:showLegendKey val="0"/>
          <c:showVal val="0"/>
          <c:showCatName val="0"/>
          <c:showSerName val="0"/>
          <c:showPercent val="0"/>
          <c:showBubbleSize val="0"/>
        </c:dLbls>
        <c:gapWidth val="150"/>
        <c:overlap val="100"/>
        <c:axId val="26323644"/>
        <c:axId val="31327494"/>
      </c:barChart>
      <c:catAx>
        <c:axId val="2632364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000" b="1" strike="noStrike" spc="-1">
                <a:solidFill>
                  <a:srgbClr val="595959"/>
                </a:solidFill>
                <a:latin typeface="Calibri"/>
                <a:ea typeface="Calibri"/>
              </a:defRPr>
            </a:pPr>
            <a:endParaRPr lang="en-US"/>
          </a:p>
        </c:txPr>
        <c:crossAx val="31327494"/>
        <c:crosses val="autoZero"/>
        <c:auto val="1"/>
        <c:lblAlgn val="ctr"/>
        <c:lblOffset val="100"/>
        <c:noMultiLvlLbl val="0"/>
      </c:catAx>
      <c:valAx>
        <c:axId val="31327494"/>
        <c:scaling>
          <c:orientation val="minMax"/>
        </c:scaling>
        <c:delete val="0"/>
        <c:axPos val="l"/>
        <c:majorGridlines>
          <c:spPr>
            <a:ln w="6480">
              <a:solidFill>
                <a:srgbClr val="D9D9D9"/>
              </a:solidFill>
              <a:round/>
            </a:ln>
          </c:spPr>
        </c:majorGridlines>
        <c:title>
          <c:tx>
            <c:rich>
              <a:bodyPr rot="-5400000"/>
              <a:lstStyle/>
              <a:p>
                <a:pPr>
                  <a:defRPr lang="en-AU" sz="1000" b="1" strike="noStrike" spc="-1">
                    <a:solidFill>
                      <a:srgbClr val="595959"/>
                    </a:solidFill>
                    <a:latin typeface="Calibri"/>
                    <a:ea typeface="Calibri"/>
                  </a:defRPr>
                </a:pPr>
                <a:r>
                  <a:rPr lang="en-AU" sz="1000" b="1" strike="noStrike" spc="-1">
                    <a:solidFill>
                      <a:srgbClr val="595959"/>
                    </a:solidFill>
                    <a:latin typeface="Calibri"/>
                    <a:ea typeface="Calibri"/>
                  </a:rPr>
                  <a:t>Reactor Volume [L]</a:t>
                </a:r>
              </a:p>
            </c:rich>
          </c:tx>
          <c:overlay val="0"/>
          <c:spPr>
            <a:noFill/>
            <a:ln w="0">
              <a:noFill/>
            </a:ln>
          </c:spPr>
        </c:title>
        <c:numFmt formatCode="0" sourceLinked="0"/>
        <c:majorTickMark val="none"/>
        <c:minorTickMark val="none"/>
        <c:tickLblPos val="nextTo"/>
        <c:spPr>
          <a:ln w="9360">
            <a:noFill/>
          </a:ln>
        </c:spPr>
        <c:txPr>
          <a:bodyPr/>
          <a:lstStyle/>
          <a:p>
            <a:pPr>
              <a:defRPr sz="1000" b="0" strike="noStrike" spc="-1">
                <a:solidFill>
                  <a:srgbClr val="595959"/>
                </a:solidFill>
                <a:latin typeface="Calibri"/>
                <a:ea typeface="Calibri"/>
              </a:defRPr>
            </a:pPr>
            <a:endParaRPr lang="en-US"/>
          </a:p>
        </c:txPr>
        <c:crossAx val="26323644"/>
        <c:crosses val="autoZero"/>
        <c:crossBetween val="between"/>
      </c:valAx>
      <c:spPr>
        <a:noFill/>
        <a:ln w="0">
          <a:noFill/>
        </a:ln>
      </c:spPr>
    </c:plotArea>
    <c:legend>
      <c:legendPos val="b"/>
      <c:overlay val="0"/>
      <c:spPr>
        <a:noFill/>
        <a:ln w="0">
          <a:noFill/>
        </a:ln>
      </c:spPr>
      <c:txPr>
        <a:bodyPr/>
        <a:lstStyle/>
        <a:p>
          <a:pPr>
            <a:defRPr sz="10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Scenarios!$A$5</c:f>
              <c:strCache>
                <c:ptCount val="1"/>
                <c:pt idx="0">
                  <c:v>CO2 | Photoautotroph (aerobic)</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(Scenarios!$F$5,Scenarios!$K$5)</c:f>
              <c:numCache>
                <c:formatCode>0</c:formatCode>
                <c:ptCount val="2"/>
                <c:pt idx="0">
                  <c:v>1890.8479044057754</c:v>
                </c:pt>
                <c:pt idx="1">
                  <c:v>15.939995545916789</c:v>
                </c:pt>
              </c:numCache>
            </c:numRef>
          </c:val>
          <c:extLst>
            <c:ext xmlns:c16="http://schemas.microsoft.com/office/drawing/2014/chart" uri="{C3380CC4-5D6E-409C-BE32-E72D297353CC}">
              <c16:uniqueId val="{00000000-F68C-4780-B493-F0D2533212CF}"/>
            </c:ext>
          </c:extLst>
        </c:ser>
        <c:ser>
          <c:idx val="1"/>
          <c:order val="1"/>
          <c:tx>
            <c:strRef>
              <c:f>Scenarios!$A$6</c:f>
              <c:strCache>
                <c:ptCount val="1"/>
                <c:pt idx="0">
                  <c:v>CO2 | Lithoautotroph (aerobic)</c:v>
                </c:pt>
              </c:strCache>
            </c:strRef>
          </c:tx>
          <c:spPr>
            <a:solidFill>
              <a:srgbClr val="C0504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(Scenarios!$F$6,Scenarios!$K$6)</c:f>
              <c:numCache>
                <c:formatCode>0</c:formatCode>
                <c:ptCount val="2"/>
                <c:pt idx="0">
                  <c:v>50.696646712328764</c:v>
                </c:pt>
                <c:pt idx="1">
                  <c:v>1.8439358882612076</c:v>
                </c:pt>
              </c:numCache>
            </c:numRef>
          </c:val>
          <c:extLst>
            <c:ext xmlns:c16="http://schemas.microsoft.com/office/drawing/2014/chart" uri="{C3380CC4-5D6E-409C-BE32-E72D297353CC}">
              <c16:uniqueId val="{00000001-F68C-4780-B493-F0D2533212CF}"/>
            </c:ext>
          </c:extLst>
        </c:ser>
        <c:ser>
          <c:idx val="2"/>
          <c:order val="2"/>
          <c:tx>
            <c:strRef>
              <c:f>Scenarios!$A$7</c:f>
              <c:strCache>
                <c:ptCount val="1"/>
                <c:pt idx="0">
                  <c:v>CO | Lithoautotroph (anaerobic)</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(Scenarios!$F$7,Scenarios!$K$7)</c:f>
              <c:numCache>
                <c:formatCode>0</c:formatCode>
                <c:ptCount val="2"/>
                <c:pt idx="0">
                  <c:v>6.9863199934712883</c:v>
                </c:pt>
                <c:pt idx="1">
                  <c:v>204.20198742582787</c:v>
                </c:pt>
              </c:numCache>
            </c:numRef>
          </c:val>
          <c:extLst>
            <c:ext xmlns:c16="http://schemas.microsoft.com/office/drawing/2014/chart" uri="{C3380CC4-5D6E-409C-BE32-E72D297353CC}">
              <c16:uniqueId val="{00000002-F68C-4780-B493-F0D2533212CF}"/>
            </c:ext>
          </c:extLst>
        </c:ser>
        <c:ser>
          <c:idx val="3"/>
          <c:order val="3"/>
          <c:tx>
            <c:strRef>
              <c:f>Scenarios!$A$8</c:f>
              <c:strCache>
                <c:ptCount val="1"/>
                <c:pt idx="0">
                  <c:v>CH4 | Methanotroph (aerobic)</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(Scenarios!$F$8,Scenarios!$K$8)</c:f>
              <c:numCache>
                <c:formatCode>0</c:formatCode>
                <c:ptCount val="2"/>
                <c:pt idx="0">
                  <c:v>2743.0831722867574</c:v>
                </c:pt>
                <c:pt idx="1">
                  <c:v>744.74945261346545</c:v>
                </c:pt>
              </c:numCache>
            </c:numRef>
          </c:val>
          <c:extLst>
            <c:ext xmlns:c16="http://schemas.microsoft.com/office/drawing/2014/chart" uri="{C3380CC4-5D6E-409C-BE32-E72D297353CC}">
              <c16:uniqueId val="{00000003-F68C-4780-B493-F0D2533212CF}"/>
            </c:ext>
          </c:extLst>
        </c:ser>
        <c:ser>
          <c:idx val="4"/>
          <c:order val="4"/>
          <c:tx>
            <c:strRef>
              <c:f>Scenarios!$A$9</c:f>
              <c:strCache>
                <c:ptCount val="1"/>
                <c:pt idx="0">
                  <c:v>VFAs | Heterotroph</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(Scenarios!$F$9,Scenarios!$K$9)</c:f>
              <c:numCache>
                <c:formatCode>0</c:formatCode>
                <c:ptCount val="2"/>
                <c:pt idx="0">
                  <c:v>391.16367324764911</c:v>
                </c:pt>
                <c:pt idx="1">
                  <c:v>43.449627538893921</c:v>
                </c:pt>
              </c:numCache>
            </c:numRef>
          </c:val>
          <c:extLst>
            <c:ext xmlns:c16="http://schemas.microsoft.com/office/drawing/2014/chart" uri="{C3380CC4-5D6E-409C-BE32-E72D297353CC}">
              <c16:uniqueId val="{00000004-F68C-4780-B493-F0D2533212CF}"/>
            </c:ext>
          </c:extLst>
        </c:ser>
        <c:ser>
          <c:idx val="5"/>
          <c:order val="5"/>
          <c:tx>
            <c:strRef>
              <c:f>Scenarios!$A$10</c:f>
              <c:strCache>
                <c:ptCount val="1"/>
                <c:pt idx="0">
                  <c:v>Wet_Organics | Heterotroph</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(Scenarios!$F$10,Scenarios!$K$10)</c:f>
              <c:numCache>
                <c:formatCode>0</c:formatCode>
                <c:ptCount val="2"/>
                <c:pt idx="0">
                  <c:v>#N/A</c:v>
                </c:pt>
                <c:pt idx="1">
                  <c:v>#N/A</c:v>
                </c:pt>
              </c:numCache>
            </c:numRef>
          </c:val>
          <c:extLst>
            <c:ext xmlns:c16="http://schemas.microsoft.com/office/drawing/2014/chart" uri="{C3380CC4-5D6E-409C-BE32-E72D297353CC}">
              <c16:uniqueId val="{00000005-F68C-4780-B493-F0D2533212CF}"/>
            </c:ext>
          </c:extLst>
        </c:ser>
        <c:ser>
          <c:idx val="6"/>
          <c:order val="6"/>
          <c:tx>
            <c:strRef>
              <c:f>Scenarios!$A$11</c:f>
              <c:strCache>
                <c:ptCount val="1"/>
                <c:pt idx="0">
                  <c:v>Wet_Organics | Mixotroph (aerobic)</c:v>
                </c:pt>
              </c:strCache>
            </c:strRef>
          </c:tx>
          <c:spPr>
            <a:solidFill>
              <a:srgbClr val="2C4D75"/>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(Scenarios!$F$11,Scenarios!$K$11)</c:f>
              <c:numCache>
                <c:formatCode>0</c:formatCode>
                <c:ptCount val="2"/>
                <c:pt idx="0">
                  <c:v>#N/A</c:v>
                </c:pt>
                <c:pt idx="1">
                  <c:v>#N/A</c:v>
                </c:pt>
              </c:numCache>
            </c:numRef>
          </c:val>
          <c:extLst>
            <c:ext xmlns:c16="http://schemas.microsoft.com/office/drawing/2014/chart" uri="{C3380CC4-5D6E-409C-BE32-E72D297353CC}">
              <c16:uniqueId val="{00000006-F68C-4780-B493-F0D2533212CF}"/>
            </c:ext>
          </c:extLst>
        </c:ser>
        <c:ser>
          <c:idx val="7"/>
          <c:order val="7"/>
          <c:tx>
            <c:strRef>
              <c:f>Scenarios!$A$13</c:f>
              <c:strCache>
                <c:ptCount val="1"/>
                <c:pt idx="0">
                  <c:v>Cellulose | Enzymatic</c:v>
                </c:pt>
              </c:strCache>
            </c:strRef>
          </c:tx>
          <c:spPr>
            <a:solidFill>
              <a:srgbClr val="5F7530"/>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(Scenarios!$F$13,Scenarios!$K$13)</c:f>
              <c:numCache>
                <c:formatCode>0</c:formatCode>
                <c:ptCount val="2"/>
                <c:pt idx="0">
                  <c:v>2345.8016405147368</c:v>
                </c:pt>
                <c:pt idx="1">
                  <c:v>344.98582821917807</c:v>
                </c:pt>
              </c:numCache>
            </c:numRef>
          </c:val>
          <c:extLst>
            <c:ext xmlns:c16="http://schemas.microsoft.com/office/drawing/2014/chart" uri="{C3380CC4-5D6E-409C-BE32-E72D297353CC}">
              <c16:uniqueId val="{00000007-F68C-4780-B493-F0D2533212CF}"/>
            </c:ext>
          </c:extLst>
        </c:ser>
        <c:ser>
          <c:idx val="8"/>
          <c:order val="8"/>
          <c:tx>
            <c:strRef>
              <c:f>Scenarios!$A$14</c:f>
              <c:strCache>
                <c:ptCount val="1"/>
                <c:pt idx="0">
                  <c:v>Polyesters | Biochemical</c:v>
                </c:pt>
              </c:strCache>
            </c:strRef>
          </c:tx>
          <c:spPr>
            <a:solidFill>
              <a:srgbClr val="4D3B62"/>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(Scenarios!$F$14,Scenarios!$K$14)</c:f>
              <c:numCache>
                <c:formatCode>0</c:formatCode>
                <c:ptCount val="2"/>
                <c:pt idx="0">
                  <c:v>3466.4359620352247</c:v>
                </c:pt>
                <c:pt idx="1">
                  <c:v>3807.9551386093617</c:v>
                </c:pt>
              </c:numCache>
            </c:numRef>
          </c:val>
          <c:extLst>
            <c:ext xmlns:c16="http://schemas.microsoft.com/office/drawing/2014/chart" uri="{C3380CC4-5D6E-409C-BE32-E72D297353CC}">
              <c16:uniqueId val="{00000008-F68C-4780-B493-F0D2533212CF}"/>
            </c:ext>
          </c:extLst>
        </c:ser>
        <c:ser>
          <c:idx val="9"/>
          <c:order val="9"/>
          <c:tx>
            <c:strRef>
              <c:f>Scenarios!$A$15</c:f>
              <c:strCache>
                <c:ptCount val="1"/>
                <c:pt idx="0">
                  <c:v>Polyamides | Biochemical</c:v>
                </c:pt>
              </c:strCache>
            </c:strRef>
          </c:tx>
          <c:spPr>
            <a:solidFill>
              <a:srgbClr val="276A7C"/>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(Scenarios!$B$3,Scenarios!$G$3)</c:f>
              <c:strCache>
                <c:ptCount val="2"/>
                <c:pt idx="0">
                  <c:v>Baseline</c:v>
                </c:pt>
                <c:pt idx="1">
                  <c:v>Aspirational</c:v>
                </c:pt>
              </c:strCache>
            </c:strRef>
          </c:cat>
          <c:val>
            <c:numRef>
              <c:f>(Scenarios!$F$15,Scenarios!$K$15)</c:f>
              <c:numCache>
                <c:formatCode>0</c:formatCode>
                <c:ptCount val="2"/>
                <c:pt idx="0">
                  <c:v>14342.784246575344</c:v>
                </c:pt>
                <c:pt idx="1">
                  <c:v>203.4640722291407</c:v>
                </c:pt>
              </c:numCache>
            </c:numRef>
          </c:val>
          <c:extLst>
            <c:ext xmlns:c16="http://schemas.microsoft.com/office/drawing/2014/chart" uri="{C3380CC4-5D6E-409C-BE32-E72D297353CC}">
              <c16:uniqueId val="{00000009-F68C-4780-B493-F0D2533212CF}"/>
            </c:ext>
          </c:extLst>
        </c:ser>
        <c:dLbls>
          <c:showLegendKey val="0"/>
          <c:showVal val="0"/>
          <c:showCatName val="0"/>
          <c:showSerName val="0"/>
          <c:showPercent val="0"/>
          <c:showBubbleSize val="0"/>
        </c:dLbls>
        <c:gapWidth val="150"/>
        <c:overlap val="100"/>
        <c:axId val="88777482"/>
        <c:axId val="70098166"/>
      </c:barChart>
      <c:catAx>
        <c:axId val="88777482"/>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000" b="1" strike="noStrike" spc="-1">
                <a:solidFill>
                  <a:srgbClr val="595959"/>
                </a:solidFill>
                <a:latin typeface="Calibri"/>
                <a:ea typeface="Calibri"/>
              </a:defRPr>
            </a:pPr>
            <a:endParaRPr lang="en-US"/>
          </a:p>
        </c:txPr>
        <c:crossAx val="70098166"/>
        <c:crosses val="autoZero"/>
        <c:auto val="1"/>
        <c:lblAlgn val="ctr"/>
        <c:lblOffset val="100"/>
        <c:noMultiLvlLbl val="0"/>
      </c:catAx>
      <c:valAx>
        <c:axId val="70098166"/>
        <c:scaling>
          <c:orientation val="minMax"/>
        </c:scaling>
        <c:delete val="0"/>
        <c:axPos val="l"/>
        <c:majorGridlines>
          <c:spPr>
            <a:ln w="6480">
              <a:solidFill>
                <a:srgbClr val="D9D9D9"/>
              </a:solidFill>
              <a:round/>
            </a:ln>
          </c:spPr>
        </c:majorGridlines>
        <c:title>
          <c:tx>
            <c:rich>
              <a:bodyPr rot="-5400000"/>
              <a:lstStyle/>
              <a:p>
                <a:pPr>
                  <a:defRPr lang="en-AU" sz="1000" b="1" strike="noStrike" spc="-1">
                    <a:solidFill>
                      <a:srgbClr val="595959"/>
                    </a:solidFill>
                    <a:latin typeface="Calibri"/>
                    <a:ea typeface="Calibri"/>
                  </a:defRPr>
                </a:pPr>
                <a:r>
                  <a:rPr lang="en-AU" sz="1000" b="1" strike="noStrike" spc="-1">
                    <a:solidFill>
                      <a:srgbClr val="595959"/>
                    </a:solidFill>
                    <a:latin typeface="Calibri"/>
                    <a:ea typeface="Calibri"/>
                  </a:rPr>
                  <a:t>Reactor Volume [L]</a:t>
                </a:r>
              </a:p>
            </c:rich>
          </c:tx>
          <c:overlay val="0"/>
          <c:spPr>
            <a:noFill/>
            <a:ln w="0">
              <a:noFill/>
            </a:ln>
          </c:spPr>
        </c:title>
        <c:numFmt formatCode="0" sourceLinked="0"/>
        <c:majorTickMark val="none"/>
        <c:minorTickMark val="none"/>
        <c:tickLblPos val="nextTo"/>
        <c:spPr>
          <a:ln w="9360">
            <a:noFill/>
          </a:ln>
        </c:spPr>
        <c:txPr>
          <a:bodyPr/>
          <a:lstStyle/>
          <a:p>
            <a:pPr>
              <a:defRPr sz="1000" b="0" strike="noStrike" spc="-1">
                <a:solidFill>
                  <a:srgbClr val="595959"/>
                </a:solidFill>
                <a:latin typeface="Calibri"/>
                <a:ea typeface="Calibri"/>
              </a:defRPr>
            </a:pPr>
            <a:endParaRPr lang="en-US"/>
          </a:p>
        </c:txPr>
        <c:crossAx val="88777482"/>
        <c:crosses val="autoZero"/>
        <c:crossBetween val="between"/>
      </c:valAx>
      <c:spPr>
        <a:noFill/>
        <a:ln w="0">
          <a:noFill/>
        </a:ln>
      </c:spPr>
    </c:plotArea>
    <c:legend>
      <c:legendPos val="b"/>
      <c:overlay val="0"/>
      <c:spPr>
        <a:noFill/>
        <a:ln w="0">
          <a:noFill/>
        </a:ln>
      </c:spPr>
      <c:txPr>
        <a:bodyPr/>
        <a:lstStyle/>
        <a:p>
          <a:pPr>
            <a:defRPr sz="1000" b="0" strike="noStrike" spc="-1">
              <a:solidFill>
                <a:srgbClr val="595959"/>
              </a:solidFill>
              <a:latin typeface="Calibri"/>
              <a:ea typeface="Calibri"/>
            </a:defRPr>
          </a:pPr>
          <a:endParaRPr lang="en-US"/>
        </a:p>
      </c:txPr>
    </c:legend>
    <c:plotVisOnly val="1"/>
    <c:dispBlanksAs val="gap"/>
    <c:showDLblsOverMax val="1"/>
  </c:chart>
  <c:spPr>
    <a:noFill/>
    <a:ln w="0">
      <a:noFill/>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AU" sz="1800" b="0" strike="noStrike" spc="-1">
                <a:solidFill>
                  <a:srgbClr val="595959"/>
                </a:solidFill>
                <a:latin typeface="Calibri"/>
                <a:ea typeface="Calibri"/>
              </a:defRPr>
            </a:pPr>
            <a:r>
              <a:rPr lang="en-AU" sz="1800" b="0" strike="noStrike" spc="-1">
                <a:solidFill>
                  <a:srgbClr val="595959"/>
                </a:solidFill>
                <a:latin typeface="Calibri"/>
                <a:ea typeface="Calibri"/>
              </a:rPr>
              <a:t>Fate of Routed Carbon</a:t>
            </a:r>
          </a:p>
        </c:rich>
      </c:tx>
      <c:overlay val="0"/>
      <c:spPr>
        <a:noFill/>
        <a:ln w="0">
          <a:noFill/>
        </a:ln>
      </c:spPr>
    </c:title>
    <c:autoTitleDeleted val="0"/>
    <c:plotArea>
      <c:layout/>
      <c:barChart>
        <c:barDir val="col"/>
        <c:grouping val="stacked"/>
        <c:varyColors val="0"/>
        <c:ser>
          <c:idx val="0"/>
          <c:order val="0"/>
          <c:tx>
            <c:strRef>
              <c:f>Scenarios!$N$6</c:f>
              <c:strCache>
                <c:ptCount val="1"/>
                <c:pt idx="0">
                  <c:v>Biomass</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(Scenarios!$H$3,Scenarios!$I$3,Scenarios!$W$3,Scenarios!$J$3,Scenarios!$K$3)</c:f>
              <c:strCache>
                <c:ptCount val="5"/>
                <c:pt idx="0">
                  <c:v>Theoretical</c:v>
                </c:pt>
                <c:pt idx="1">
                  <c:v>Empirical</c:v>
                </c:pt>
                <c:pt idx="3">
                  <c:v>Theoretical</c:v>
                </c:pt>
                <c:pt idx="4">
                  <c:v>Empirical</c:v>
                </c:pt>
              </c:strCache>
            </c:strRef>
          </c:cat>
          <c:val>
            <c:numRef>
              <c:f>(Scenarios!$O$6,Scenarios!$S$6,Scenarios!$X$3,Scenarios!$Q$6,Scenarios!$U$6)</c:f>
              <c:numCache>
                <c:formatCode>0</c:formatCode>
                <c:ptCount val="5"/>
                <c:pt idx="0">
                  <c:v>846.51845819445759</c:v>
                </c:pt>
                <c:pt idx="1">
                  <c:v>847.17389375580012</c:v>
                </c:pt>
                <c:pt idx="3">
                  <c:v>1459.3640878377876</c:v>
                </c:pt>
                <c:pt idx="4">
                  <c:v>1379.4942647935684</c:v>
                </c:pt>
              </c:numCache>
            </c:numRef>
          </c:val>
          <c:extLst>
            <c:ext xmlns:c16="http://schemas.microsoft.com/office/drawing/2014/chart" uri="{C3380CC4-5D6E-409C-BE32-E72D297353CC}">
              <c16:uniqueId val="{00000000-FA01-45B4-93BF-C0FFC9B5ACB3}"/>
            </c:ext>
          </c:extLst>
        </c:ser>
        <c:ser>
          <c:idx val="1"/>
          <c:order val="1"/>
          <c:tx>
            <c:strRef>
              <c:f>Scenarios!$N$7</c:f>
              <c:strCache>
                <c:ptCount val="1"/>
                <c:pt idx="0">
                  <c:v>CO₂e</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(Scenarios!$H$3,Scenarios!$I$3,Scenarios!$W$3,Scenarios!$J$3,Scenarios!$K$3)</c:f>
              <c:strCache>
                <c:ptCount val="5"/>
                <c:pt idx="0">
                  <c:v>Theoretical</c:v>
                </c:pt>
                <c:pt idx="1">
                  <c:v>Empirical</c:v>
                </c:pt>
                <c:pt idx="3">
                  <c:v>Theoretical</c:v>
                </c:pt>
                <c:pt idx="4">
                  <c:v>Empirical</c:v>
                </c:pt>
              </c:strCache>
            </c:strRef>
          </c:cat>
          <c:val>
            <c:numRef>
              <c:f>(Scenarios!$O$7,Scenarios!$S$7,Scenarios!$X$3,Scenarios!$Q$7,Scenarios!$U$7)</c:f>
              <c:numCache>
                <c:formatCode>0</c:formatCode>
                <c:ptCount val="5"/>
                <c:pt idx="0">
                  <c:v>1075.678032845542</c:v>
                </c:pt>
                <c:pt idx="1">
                  <c:v>1075.0225972841995</c:v>
                </c:pt>
                <c:pt idx="3">
                  <c:v>1572.6867606422127</c:v>
                </c:pt>
                <c:pt idx="4">
                  <c:v>1652.5565836864318</c:v>
                </c:pt>
              </c:numCache>
            </c:numRef>
          </c:val>
          <c:extLst>
            <c:ext xmlns:c16="http://schemas.microsoft.com/office/drawing/2014/chart" uri="{C3380CC4-5D6E-409C-BE32-E72D297353CC}">
              <c16:uniqueId val="{00000001-FA01-45B4-93BF-C0FFC9B5ACB3}"/>
            </c:ext>
          </c:extLst>
        </c:ser>
        <c:ser>
          <c:idx val="2"/>
          <c:order val="2"/>
          <c:tx>
            <c:strRef>
              <c:f>Scenarios!$N$8</c:f>
              <c:strCache>
                <c:ptCount val="1"/>
                <c:pt idx="0">
                  <c:v>Residual Solids</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(Scenarios!$H$3,Scenarios!$I$3,Scenarios!$W$3,Scenarios!$J$3,Scenarios!$K$3)</c:f>
              <c:strCache>
                <c:ptCount val="5"/>
                <c:pt idx="0">
                  <c:v>Theoretical</c:v>
                </c:pt>
                <c:pt idx="1">
                  <c:v>Empirical</c:v>
                </c:pt>
                <c:pt idx="3">
                  <c:v>Theoretical</c:v>
                </c:pt>
                <c:pt idx="4">
                  <c:v>Empirical</c:v>
                </c:pt>
              </c:strCache>
            </c:strRef>
          </c:cat>
          <c:val>
            <c:numRef>
              <c:f>(Scenarios!$O$8,Scenarios!$S$8,Scenarios!$X$3,Scenarios!$Q$8,Scenarios!$U$8)</c:f>
              <c:numCache>
                <c:formatCode>0</c:formatCode>
                <c:ptCount val="5"/>
                <c:pt idx="0">
                  <c:v>73.436964959999983</c:v>
                </c:pt>
                <c:pt idx="1">
                  <c:v>73.436964959999983</c:v>
                </c:pt>
                <c:pt idx="3">
                  <c:v>273.91137552000009</c:v>
                </c:pt>
                <c:pt idx="4">
                  <c:v>273.91137552000009</c:v>
                </c:pt>
              </c:numCache>
            </c:numRef>
          </c:val>
          <c:extLst>
            <c:ext xmlns:c16="http://schemas.microsoft.com/office/drawing/2014/chart" uri="{C3380CC4-5D6E-409C-BE32-E72D297353CC}">
              <c16:uniqueId val="{00000002-FA01-45B4-93BF-C0FFC9B5ACB3}"/>
            </c:ext>
          </c:extLst>
        </c:ser>
        <c:ser>
          <c:idx val="3"/>
          <c:order val="3"/>
          <c:tx>
            <c:strRef>
              <c:f>Scenarios!$N$9</c:f>
              <c:strCache>
                <c:ptCount val="1"/>
                <c:pt idx="0">
                  <c:v>Remaining Plastics</c:v>
                </c:pt>
              </c:strCache>
            </c:strRef>
          </c:tx>
          <c:spPr>
            <a:solidFill>
              <a:srgbClr val="2C4D75"/>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(Scenarios!$H$3,Scenarios!$I$3,Scenarios!$W$3,Scenarios!$J$3,Scenarios!$K$3)</c:f>
              <c:strCache>
                <c:ptCount val="5"/>
                <c:pt idx="0">
                  <c:v>Theoretical</c:v>
                </c:pt>
                <c:pt idx="1">
                  <c:v>Empirical</c:v>
                </c:pt>
                <c:pt idx="3">
                  <c:v>Theoretical</c:v>
                </c:pt>
                <c:pt idx="4">
                  <c:v>Empirical</c:v>
                </c:pt>
              </c:strCache>
            </c:strRef>
          </c:cat>
          <c:val>
            <c:numRef>
              <c:f>(Scenarios!$O$9,Scenarios!$S$9,Scenarios!$X$3,Scenarios!$Q$9,Scenarios!$U$9)</c:f>
              <c:numCache>
                <c:formatCode>0</c:formatCode>
                <c:ptCount val="5"/>
                <c:pt idx="0">
                  <c:v>1474.1198640000002</c:v>
                </c:pt>
                <c:pt idx="1">
                  <c:v>1474.1198640000002</c:v>
                </c:pt>
                <c:pt idx="3">
                  <c:v>163.79109599999992</c:v>
                </c:pt>
                <c:pt idx="4">
                  <c:v>163.79109599999992</c:v>
                </c:pt>
              </c:numCache>
            </c:numRef>
          </c:val>
          <c:extLst>
            <c:ext xmlns:c16="http://schemas.microsoft.com/office/drawing/2014/chart" uri="{C3380CC4-5D6E-409C-BE32-E72D297353CC}">
              <c16:uniqueId val="{00000003-FA01-45B4-93BF-C0FFC9B5ACB3}"/>
            </c:ext>
          </c:extLst>
        </c:ser>
        <c:dLbls>
          <c:showLegendKey val="0"/>
          <c:showVal val="0"/>
          <c:showCatName val="0"/>
          <c:showSerName val="0"/>
          <c:showPercent val="0"/>
          <c:showBubbleSize val="0"/>
        </c:dLbls>
        <c:gapWidth val="50"/>
        <c:overlap val="100"/>
        <c:axId val="5824065"/>
        <c:axId val="25313140"/>
      </c:barChart>
      <c:catAx>
        <c:axId val="5824065"/>
        <c:scaling>
          <c:orientation val="minMax"/>
        </c:scaling>
        <c:delete val="0"/>
        <c:axPos val="b"/>
        <c:numFmt formatCode="General" sourceLinked="0"/>
        <c:majorTickMark val="none"/>
        <c:minorTickMark val="none"/>
        <c:tickLblPos val="nextTo"/>
        <c:spPr>
          <a:ln w="9360">
            <a:solidFill>
              <a:srgbClr val="BFBFBF"/>
            </a:solidFill>
            <a:round/>
          </a:ln>
        </c:spPr>
        <c:txPr>
          <a:bodyPr/>
          <a:lstStyle/>
          <a:p>
            <a:pPr>
              <a:defRPr sz="1000" b="1" strike="noStrike" spc="-1">
                <a:solidFill>
                  <a:srgbClr val="595959"/>
                </a:solidFill>
                <a:latin typeface="Calibri"/>
                <a:ea typeface="Calibri"/>
              </a:defRPr>
            </a:pPr>
            <a:endParaRPr lang="en-US"/>
          </a:p>
        </c:txPr>
        <c:crossAx val="25313140"/>
        <c:crosses val="autoZero"/>
        <c:auto val="1"/>
        <c:lblAlgn val="ctr"/>
        <c:lblOffset val="100"/>
        <c:noMultiLvlLbl val="0"/>
      </c:catAx>
      <c:valAx>
        <c:axId val="25313140"/>
        <c:scaling>
          <c:orientation val="minMax"/>
        </c:scaling>
        <c:delete val="0"/>
        <c:axPos val="l"/>
        <c:majorGridlines>
          <c:spPr>
            <a:ln w="6480">
              <a:solidFill>
                <a:srgbClr val="F2F2F2"/>
              </a:solidFill>
              <a:round/>
            </a:ln>
          </c:spPr>
        </c:majorGridlines>
        <c:title>
          <c:tx>
            <c:rich>
              <a:bodyPr rot="-5400000"/>
              <a:lstStyle/>
              <a:p>
                <a:pPr>
                  <a:defRPr lang="en-AU" sz="1200" b="1" strike="noStrike" spc="-1">
                    <a:solidFill>
                      <a:srgbClr val="595959"/>
                    </a:solidFill>
                    <a:latin typeface="Calibri"/>
                    <a:ea typeface="Calibri"/>
                  </a:defRPr>
                </a:pPr>
                <a:r>
                  <a:rPr lang="en-AU" sz="1200" b="1" strike="noStrike" spc="-1">
                    <a:solidFill>
                      <a:srgbClr val="595959"/>
                    </a:solidFill>
                    <a:latin typeface="Calibri"/>
                    <a:ea typeface="Calibri"/>
                  </a:rPr>
                  <a:t>Carbon [kgC/a]</a:t>
                </a:r>
              </a:p>
            </c:rich>
          </c:tx>
          <c:overlay val="0"/>
          <c:spPr>
            <a:noFill/>
            <a:ln w="0">
              <a:noFill/>
            </a:ln>
          </c:spPr>
        </c:title>
        <c:numFmt formatCode="0" sourceLinked="0"/>
        <c:majorTickMark val="none"/>
        <c:minorTickMark val="none"/>
        <c:tickLblPos val="nextTo"/>
        <c:spPr>
          <a:ln w="9360">
            <a:noFill/>
          </a:ln>
        </c:spPr>
        <c:txPr>
          <a:bodyPr/>
          <a:lstStyle/>
          <a:p>
            <a:pPr>
              <a:defRPr sz="1000" b="1" strike="noStrike" spc="-1">
                <a:solidFill>
                  <a:srgbClr val="595959"/>
                </a:solidFill>
                <a:latin typeface="Calibri"/>
                <a:ea typeface="Calibri"/>
              </a:defRPr>
            </a:pPr>
            <a:endParaRPr lang="en-US"/>
          </a:p>
        </c:txPr>
        <c:crossAx val="5824065"/>
        <c:crosses val="autoZero"/>
        <c:crossBetween val="between"/>
      </c:valAx>
      <c:spPr>
        <a:noFill/>
        <a:ln w="0">
          <a:noFill/>
        </a:ln>
      </c:spPr>
    </c:plotArea>
    <c:legend>
      <c:legendPos val="t"/>
      <c:overlay val="0"/>
      <c:spPr>
        <a:noFill/>
        <a:ln w="0">
          <a:noFill/>
        </a:ln>
      </c:spPr>
      <c:txPr>
        <a:bodyPr/>
        <a:lstStyle/>
        <a:p>
          <a:pPr>
            <a:defRPr sz="1200" b="1" strike="noStrike" spc="-1">
              <a:solidFill>
                <a:srgbClr val="595959"/>
              </a:solidFill>
              <a:latin typeface="Calibri"/>
              <a:ea typeface="Calibri"/>
            </a:defRPr>
          </a:pPr>
          <a:endParaRPr lang="en-US"/>
        </a:p>
      </c:txPr>
    </c:legend>
    <c:plotVisOnly val="1"/>
    <c:dispBlanksAs val="gap"/>
    <c:showDLblsOverMax val="1"/>
  </c:chart>
  <c:spPr>
    <a:no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1.xml"/><Relationship Id="rId3" Type="http://schemas.openxmlformats.org/officeDocument/2006/relationships/chart" Target="../charts/chart16.xml"/><Relationship Id="rId7" Type="http://schemas.openxmlformats.org/officeDocument/2006/relationships/chart" Target="../charts/chart20.xml"/><Relationship Id="rId12" Type="http://schemas.openxmlformats.org/officeDocument/2006/relationships/chart" Target="../charts/chart25.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11" Type="http://schemas.openxmlformats.org/officeDocument/2006/relationships/chart" Target="../charts/chart24.xml"/><Relationship Id="rId5" Type="http://schemas.openxmlformats.org/officeDocument/2006/relationships/chart" Target="../charts/chart18.xml"/><Relationship Id="rId10" Type="http://schemas.openxmlformats.org/officeDocument/2006/relationships/chart" Target="../charts/chart23.xml"/><Relationship Id="rId4" Type="http://schemas.openxmlformats.org/officeDocument/2006/relationships/chart" Target="../charts/chart17.xml"/><Relationship Id="rId9"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0</xdr:rowOff>
    </xdr:from>
    <xdr:to>
      <xdr:col>3</xdr:col>
      <xdr:colOff>2134800</xdr:colOff>
      <xdr:row>36</xdr:row>
      <xdr:rowOff>174600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30</xdr:row>
      <xdr:rowOff>0</xdr:rowOff>
    </xdr:from>
    <xdr:to>
      <xdr:col>5</xdr:col>
      <xdr:colOff>209520</xdr:colOff>
      <xdr:row>54</xdr:row>
      <xdr:rowOff>171360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30</xdr:row>
      <xdr:rowOff>0</xdr:rowOff>
    </xdr:from>
    <xdr:to>
      <xdr:col>8</xdr:col>
      <xdr:colOff>1155600</xdr:colOff>
      <xdr:row>54</xdr:row>
      <xdr:rowOff>171360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0</xdr:colOff>
      <xdr:row>55</xdr:row>
      <xdr:rowOff>0</xdr:rowOff>
    </xdr:from>
    <xdr:to>
      <xdr:col>5</xdr:col>
      <xdr:colOff>209520</xdr:colOff>
      <xdr:row>79</xdr:row>
      <xdr:rowOff>145800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55</xdr:row>
      <xdr:rowOff>0</xdr:rowOff>
    </xdr:from>
    <xdr:to>
      <xdr:col>8</xdr:col>
      <xdr:colOff>1155600</xdr:colOff>
      <xdr:row>79</xdr:row>
      <xdr:rowOff>145800</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9</xdr:col>
      <xdr:colOff>0</xdr:colOff>
      <xdr:row>30</xdr:row>
      <xdr:rowOff>0</xdr:rowOff>
    </xdr:from>
    <xdr:to>
      <xdr:col>10</xdr:col>
      <xdr:colOff>3657600</xdr:colOff>
      <xdr:row>54</xdr:row>
      <xdr:rowOff>171360</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0</xdr:colOff>
      <xdr:row>55</xdr:row>
      <xdr:rowOff>0</xdr:rowOff>
    </xdr:from>
    <xdr:to>
      <xdr:col>10</xdr:col>
      <xdr:colOff>3657600</xdr:colOff>
      <xdr:row>79</xdr:row>
      <xdr:rowOff>145800</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30</xdr:row>
      <xdr:rowOff>0</xdr:rowOff>
    </xdr:from>
    <xdr:to>
      <xdr:col>5</xdr:col>
      <xdr:colOff>163800</xdr:colOff>
      <xdr:row>54</xdr:row>
      <xdr:rowOff>145800</xdr:rowOff>
    </xdr:to>
    <xdr:graphicFrame macro="">
      <xdr:nvGraphicFramePr>
        <xdr:cNvPr id="7" name="Chart 1">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30</xdr:row>
      <xdr:rowOff>0</xdr:rowOff>
    </xdr:from>
    <xdr:to>
      <xdr:col>8</xdr:col>
      <xdr:colOff>1155600</xdr:colOff>
      <xdr:row>54</xdr:row>
      <xdr:rowOff>145800</xdr:rowOff>
    </xdr:to>
    <xdr:graphicFrame macro="">
      <xdr:nvGraphicFramePr>
        <xdr:cNvPr id="8" name="Chart 2">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30</xdr:row>
      <xdr:rowOff>0</xdr:rowOff>
    </xdr:from>
    <xdr:to>
      <xdr:col>10</xdr:col>
      <xdr:colOff>3661200</xdr:colOff>
      <xdr:row>54</xdr:row>
      <xdr:rowOff>145800</xdr:rowOff>
    </xdr:to>
    <xdr:graphicFrame macro="">
      <xdr:nvGraphicFramePr>
        <xdr:cNvPr id="9" name="Chart 3">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55</xdr:row>
      <xdr:rowOff>0</xdr:rowOff>
    </xdr:from>
    <xdr:to>
      <xdr:col>10</xdr:col>
      <xdr:colOff>3661200</xdr:colOff>
      <xdr:row>79</xdr:row>
      <xdr:rowOff>145800</xdr:rowOff>
    </xdr:to>
    <xdr:graphicFrame macro="">
      <xdr:nvGraphicFramePr>
        <xdr:cNvPr id="10" name="Chart 4">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0</xdr:colOff>
      <xdr:row>55</xdr:row>
      <xdr:rowOff>0</xdr:rowOff>
    </xdr:from>
    <xdr:to>
      <xdr:col>8</xdr:col>
      <xdr:colOff>1155600</xdr:colOff>
      <xdr:row>79</xdr:row>
      <xdr:rowOff>145800</xdr:rowOff>
    </xdr:to>
    <xdr:graphicFrame macro="">
      <xdr:nvGraphicFramePr>
        <xdr:cNvPr id="11" name="Chart 5">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0</xdr:colOff>
      <xdr:row>55</xdr:row>
      <xdr:rowOff>0</xdr:rowOff>
    </xdr:from>
    <xdr:to>
      <xdr:col>5</xdr:col>
      <xdr:colOff>163800</xdr:colOff>
      <xdr:row>79</xdr:row>
      <xdr:rowOff>145800</xdr:rowOff>
    </xdr:to>
    <xdr:graphicFrame macro="">
      <xdr:nvGraphicFramePr>
        <xdr:cNvPr id="12" name="Chart 6">
          <a:extLst>
            <a:ext uri="{FF2B5EF4-FFF2-40B4-BE49-F238E27FC236}">
              <a16:creationId xmlns:a16="http://schemas.microsoft.com/office/drawing/2014/main" id="{00000000-0008-0000-06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22</xdr:row>
      <xdr:rowOff>0</xdr:rowOff>
    </xdr:from>
    <xdr:to>
      <xdr:col>12</xdr:col>
      <xdr:colOff>12600</xdr:colOff>
      <xdr:row>46</xdr:row>
      <xdr:rowOff>145800</xdr:rowOff>
    </xdr:to>
    <xdr:graphicFrame macro="">
      <xdr:nvGraphicFramePr>
        <xdr:cNvPr id="13" name="Chart 1">
          <a:extLst>
            <a:ext uri="{FF2B5EF4-FFF2-40B4-BE49-F238E27FC236}">
              <a16:creationId xmlns:a16="http://schemas.microsoft.com/office/drawing/2014/main" id="{00000000-0008-0000-07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22</xdr:row>
      <xdr:rowOff>0</xdr:rowOff>
    </xdr:from>
    <xdr:to>
      <xdr:col>9</xdr:col>
      <xdr:colOff>95040</xdr:colOff>
      <xdr:row>46</xdr:row>
      <xdr:rowOff>145800</xdr:rowOff>
    </xdr:to>
    <xdr:graphicFrame macro="">
      <xdr:nvGraphicFramePr>
        <xdr:cNvPr id="14" name="Chart 2">
          <a:extLst>
            <a:ext uri="{FF2B5EF4-FFF2-40B4-BE49-F238E27FC236}">
              <a16:creationId xmlns:a16="http://schemas.microsoft.com/office/drawing/2014/main" id="{00000000-0008-0000-07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47</xdr:row>
      <xdr:rowOff>0</xdr:rowOff>
    </xdr:from>
    <xdr:to>
      <xdr:col>9</xdr:col>
      <xdr:colOff>95040</xdr:colOff>
      <xdr:row>71</xdr:row>
      <xdr:rowOff>145800</xdr:rowOff>
    </xdr:to>
    <xdr:graphicFrame macro="">
      <xdr:nvGraphicFramePr>
        <xdr:cNvPr id="15" name="Chart 3">
          <a:extLst>
            <a:ext uri="{FF2B5EF4-FFF2-40B4-BE49-F238E27FC236}">
              <a16:creationId xmlns:a16="http://schemas.microsoft.com/office/drawing/2014/main" id="{00000000-0008-0000-07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47</xdr:row>
      <xdr:rowOff>0</xdr:rowOff>
    </xdr:from>
    <xdr:to>
      <xdr:col>12</xdr:col>
      <xdr:colOff>12600</xdr:colOff>
      <xdr:row>71</xdr:row>
      <xdr:rowOff>145800</xdr:rowOff>
    </xdr:to>
    <xdr:graphicFrame macro="">
      <xdr:nvGraphicFramePr>
        <xdr:cNvPr id="16" name="Chart 4">
          <a:extLst>
            <a:ext uri="{FF2B5EF4-FFF2-40B4-BE49-F238E27FC236}">
              <a16:creationId xmlns:a16="http://schemas.microsoft.com/office/drawing/2014/main" id="{00000000-0008-0000-07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0</xdr:colOff>
      <xdr:row>72</xdr:row>
      <xdr:rowOff>0</xdr:rowOff>
    </xdr:from>
    <xdr:to>
      <xdr:col>9</xdr:col>
      <xdr:colOff>95040</xdr:colOff>
      <xdr:row>96</xdr:row>
      <xdr:rowOff>145800</xdr:rowOff>
    </xdr:to>
    <xdr:graphicFrame macro="">
      <xdr:nvGraphicFramePr>
        <xdr:cNvPr id="17" name="Chart 5">
          <a:extLst>
            <a:ext uri="{FF2B5EF4-FFF2-40B4-BE49-F238E27FC236}">
              <a16:creationId xmlns:a16="http://schemas.microsoft.com/office/drawing/2014/main" id="{00000000-0008-0000-07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0</xdr:colOff>
      <xdr:row>72</xdr:row>
      <xdr:rowOff>0</xdr:rowOff>
    </xdr:from>
    <xdr:to>
      <xdr:col>12</xdr:col>
      <xdr:colOff>12600</xdr:colOff>
      <xdr:row>96</xdr:row>
      <xdr:rowOff>145800</xdr:rowOff>
    </xdr:to>
    <xdr:graphicFrame macro="">
      <xdr:nvGraphicFramePr>
        <xdr:cNvPr id="18" name="Chart 6">
          <a:extLst>
            <a:ext uri="{FF2B5EF4-FFF2-40B4-BE49-F238E27FC236}">
              <a16:creationId xmlns:a16="http://schemas.microsoft.com/office/drawing/2014/main" id="{00000000-0008-0000-07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0</xdr:colOff>
      <xdr:row>97</xdr:row>
      <xdr:rowOff>0</xdr:rowOff>
    </xdr:from>
    <xdr:to>
      <xdr:col>9</xdr:col>
      <xdr:colOff>95040</xdr:colOff>
      <xdr:row>121</xdr:row>
      <xdr:rowOff>145800</xdr:rowOff>
    </xdr:to>
    <xdr:graphicFrame macro="">
      <xdr:nvGraphicFramePr>
        <xdr:cNvPr id="19" name="Chart 7">
          <a:extLst>
            <a:ext uri="{FF2B5EF4-FFF2-40B4-BE49-F238E27FC236}">
              <a16:creationId xmlns:a16="http://schemas.microsoft.com/office/drawing/2014/main" id="{00000000-0008-0000-07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9</xdr:col>
      <xdr:colOff>0</xdr:colOff>
      <xdr:row>97</xdr:row>
      <xdr:rowOff>0</xdr:rowOff>
    </xdr:from>
    <xdr:to>
      <xdr:col>12</xdr:col>
      <xdr:colOff>12600</xdr:colOff>
      <xdr:row>121</xdr:row>
      <xdr:rowOff>145800</xdr:rowOff>
    </xdr:to>
    <xdr:graphicFrame macro="">
      <xdr:nvGraphicFramePr>
        <xdr:cNvPr id="20" name="Chart 8">
          <a:extLst>
            <a:ext uri="{FF2B5EF4-FFF2-40B4-BE49-F238E27FC236}">
              <a16:creationId xmlns:a16="http://schemas.microsoft.com/office/drawing/2014/main" id="{00000000-0008-0000-07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22</xdr:row>
      <xdr:rowOff>0</xdr:rowOff>
    </xdr:from>
    <xdr:to>
      <xdr:col>3</xdr:col>
      <xdr:colOff>19080</xdr:colOff>
      <xdr:row>46</xdr:row>
      <xdr:rowOff>145800</xdr:rowOff>
    </xdr:to>
    <xdr:graphicFrame macro="">
      <xdr:nvGraphicFramePr>
        <xdr:cNvPr id="21" name="Chart 9">
          <a:extLst>
            <a:ext uri="{FF2B5EF4-FFF2-40B4-BE49-F238E27FC236}">
              <a16:creationId xmlns:a16="http://schemas.microsoft.com/office/drawing/2014/main" id="{00000000-0008-0000-07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0</xdr:colOff>
      <xdr:row>47</xdr:row>
      <xdr:rowOff>0</xdr:rowOff>
    </xdr:from>
    <xdr:to>
      <xdr:col>3</xdr:col>
      <xdr:colOff>19080</xdr:colOff>
      <xdr:row>71</xdr:row>
      <xdr:rowOff>145800</xdr:rowOff>
    </xdr:to>
    <xdr:graphicFrame macro="">
      <xdr:nvGraphicFramePr>
        <xdr:cNvPr id="22" name="Chart 10">
          <a:extLst>
            <a:ext uri="{FF2B5EF4-FFF2-40B4-BE49-F238E27FC236}">
              <a16:creationId xmlns:a16="http://schemas.microsoft.com/office/drawing/2014/main" id="{00000000-0008-0000-07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0</xdr:colOff>
      <xdr:row>72</xdr:row>
      <xdr:rowOff>0</xdr:rowOff>
    </xdr:from>
    <xdr:to>
      <xdr:col>3</xdr:col>
      <xdr:colOff>19080</xdr:colOff>
      <xdr:row>96</xdr:row>
      <xdr:rowOff>145800</xdr:rowOff>
    </xdr:to>
    <xdr:graphicFrame macro="">
      <xdr:nvGraphicFramePr>
        <xdr:cNvPr id="23" name="Chart 11">
          <a:extLst>
            <a:ext uri="{FF2B5EF4-FFF2-40B4-BE49-F238E27FC236}">
              <a16:creationId xmlns:a16="http://schemas.microsoft.com/office/drawing/2014/main" id="{00000000-0008-0000-07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13</xdr:col>
      <xdr:colOff>0</xdr:colOff>
      <xdr:row>13</xdr:row>
      <xdr:rowOff>0</xdr:rowOff>
    </xdr:from>
    <xdr:to>
      <xdr:col>23</xdr:col>
      <xdr:colOff>25200</xdr:colOff>
      <xdr:row>37</xdr:row>
      <xdr:rowOff>145800</xdr:rowOff>
    </xdr:to>
    <xdr:graphicFrame macro="">
      <xdr:nvGraphicFramePr>
        <xdr:cNvPr id="24" name="Chart 12">
          <a:extLst>
            <a:ext uri="{FF2B5EF4-FFF2-40B4-BE49-F238E27FC236}">
              <a16:creationId xmlns:a16="http://schemas.microsoft.com/office/drawing/2014/main" id="{00000000-0008-0000-07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henrys-law.org/henry/casrn/74-82-8%20%7C%20van't%20Hoff%20to%20T_op;%201600%20K%20(Sander%202023)" TargetMode="External"/><Relationship Id="rId2" Type="http://schemas.openxmlformats.org/officeDocument/2006/relationships/hyperlink" Target="https://henrys-law.org/henry/casrn/1333-74-0%20%7C%20van't%20Hoff%20to%20T_op;%20530%20K%20(Sander%202023)" TargetMode="External"/><Relationship Id="rId1" Type="http://schemas.openxmlformats.org/officeDocument/2006/relationships/hyperlink" Target="https://henrys-law.org/henry/casrn/7782-44-7%20%7C%20van't%20Hoff%20to%20T_op;%201500%20K%20(Sander%202023)" TargetMode="External"/><Relationship Id="rId5" Type="http://schemas.openxmlformats.org/officeDocument/2006/relationships/hyperlink" Target="https://henrys-law.org/henry/casrn/124-38-9" TargetMode="External"/><Relationship Id="rId4" Type="http://schemas.openxmlformats.org/officeDocument/2006/relationships/hyperlink" Target="https://henrys-law.org/henry/casrn/630-08-0%20%7C%20van't%20Hoff%20to%20T_op;%201300%20K%20(Sander%202023)"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showGridLines="0" zoomScaleNormal="100" workbookViewId="0">
      <selection activeCell="A7" sqref="A7"/>
    </sheetView>
  </sheetViews>
  <sheetFormatPr defaultColWidth="255.6328125" defaultRowHeight="14.5" x14ac:dyDescent="0.35"/>
  <cols>
    <col min="1" max="1" width="76.6328125" style="3" bestFit="1" customWidth="1"/>
    <col min="2" max="2" width="240.36328125" style="3" bestFit="1" customWidth="1"/>
    <col min="3" max="16384" width="255.6328125" style="3"/>
  </cols>
  <sheetData>
    <row r="1" spans="1:2" x14ac:dyDescent="0.35">
      <c r="A1" s="4" t="s">
        <v>0</v>
      </c>
      <c r="B1" s="5" t="s">
        <v>1</v>
      </c>
    </row>
    <row r="2" spans="1:2" ht="29" x14ac:dyDescent="0.35">
      <c r="A2" s="6" t="s">
        <v>2</v>
      </c>
      <c r="B2" s="7" t="s">
        <v>3</v>
      </c>
    </row>
    <row r="3" spans="1:2" ht="29" x14ac:dyDescent="0.35">
      <c r="A3" s="6" t="s">
        <v>4</v>
      </c>
      <c r="B3" s="7" t="s">
        <v>5</v>
      </c>
    </row>
    <row r="4" spans="1:2" ht="29" x14ac:dyDescent="0.35">
      <c r="A4" s="6" t="s">
        <v>6</v>
      </c>
      <c r="B4" s="7" t="s">
        <v>7</v>
      </c>
    </row>
    <row r="5" spans="1:2" ht="58" x14ac:dyDescent="0.35">
      <c r="A5" s="6" t="s">
        <v>8</v>
      </c>
      <c r="B5" s="7" t="s">
        <v>9</v>
      </c>
    </row>
    <row r="6" spans="1:2" ht="43.5" x14ac:dyDescent="0.35">
      <c r="A6" s="6" t="s">
        <v>10</v>
      </c>
      <c r="B6" s="8" t="s">
        <v>11</v>
      </c>
    </row>
    <row r="8" spans="1:2" x14ac:dyDescent="0.35">
      <c r="A8" s="9" t="s">
        <v>12</v>
      </c>
    </row>
    <row r="9" spans="1:2" x14ac:dyDescent="0.35">
      <c r="A9" s="9" t="s">
        <v>13</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
  <sheetViews>
    <sheetView showGridLines="0" zoomScaleNormal="100" workbookViewId="0">
      <selection activeCell="E2" sqref="E2:F10"/>
    </sheetView>
  </sheetViews>
  <sheetFormatPr defaultColWidth="40.54296875" defaultRowHeight="14.5" x14ac:dyDescent="0.35"/>
  <cols>
    <col min="1" max="1" width="18" style="9" customWidth="1"/>
    <col min="2" max="2" width="10" style="9" customWidth="1"/>
    <col min="3" max="3" width="13.81640625" style="9" customWidth="1"/>
    <col min="4" max="4" width="76.453125" style="9" customWidth="1"/>
    <col min="5" max="6" width="11.90625" style="9" customWidth="1"/>
    <col min="7" max="16384" width="40.54296875" style="9"/>
  </cols>
  <sheetData>
    <row r="1" spans="1:6" ht="14.25" customHeight="1" x14ac:dyDescent="0.35">
      <c r="A1" s="10" t="s">
        <v>14</v>
      </c>
      <c r="B1" s="11" t="s">
        <v>15</v>
      </c>
      <c r="C1" s="11" t="s">
        <v>16</v>
      </c>
      <c r="D1" s="12" t="s">
        <v>17</v>
      </c>
      <c r="E1" s="10" t="s">
        <v>18</v>
      </c>
      <c r="F1" s="10" t="s">
        <v>19</v>
      </c>
    </row>
    <row r="2" spans="1:6" ht="14.25" customHeight="1" x14ac:dyDescent="0.35">
      <c r="A2" s="1" t="s">
        <v>20</v>
      </c>
      <c r="B2" s="13">
        <v>298.14999999999998</v>
      </c>
      <c r="C2" s="14" t="s">
        <v>21</v>
      </c>
      <c r="D2" s="15" t="s">
        <v>22</v>
      </c>
      <c r="E2" s="160"/>
      <c r="F2" s="160"/>
    </row>
    <row r="3" spans="1:6" ht="14.25" customHeight="1" x14ac:dyDescent="0.35">
      <c r="A3" s="1" t="s">
        <v>23</v>
      </c>
      <c r="B3" s="16">
        <v>101325</v>
      </c>
      <c r="C3" s="14" t="s">
        <v>24</v>
      </c>
      <c r="D3" s="15" t="s">
        <v>25</v>
      </c>
      <c r="E3" s="160"/>
      <c r="F3" s="160"/>
    </row>
    <row r="4" spans="1:6" ht="14.25" customHeight="1" x14ac:dyDescent="0.35">
      <c r="A4" s="1" t="s">
        <v>26</v>
      </c>
      <c r="B4" s="16">
        <v>1000</v>
      </c>
      <c r="C4" s="14" t="s">
        <v>27</v>
      </c>
      <c r="D4" s="15" t="s">
        <v>25</v>
      </c>
      <c r="E4" s="160"/>
      <c r="F4" s="160"/>
    </row>
    <row r="5" spans="1:6" ht="14.25" customHeight="1" x14ac:dyDescent="0.35">
      <c r="A5" s="1" t="s">
        <v>28</v>
      </c>
      <c r="B5" s="16">
        <v>24</v>
      </c>
      <c r="C5" s="14" t="s">
        <v>29</v>
      </c>
      <c r="D5" s="15" t="s">
        <v>25</v>
      </c>
      <c r="E5" s="160"/>
      <c r="F5" s="160"/>
    </row>
    <row r="6" spans="1:6" ht="14.25" customHeight="1" x14ac:dyDescent="0.35">
      <c r="A6" s="1" t="s">
        <v>30</v>
      </c>
      <c r="B6" s="16">
        <v>365</v>
      </c>
      <c r="C6" s="14" t="s">
        <v>31</v>
      </c>
      <c r="D6" s="15" t="s">
        <v>25</v>
      </c>
      <c r="E6" s="160"/>
      <c r="F6" s="160"/>
    </row>
    <row r="7" spans="1:6" ht="14.25" customHeight="1" x14ac:dyDescent="0.35">
      <c r="A7" s="1" t="s">
        <v>32</v>
      </c>
      <c r="B7" s="17">
        <v>12.010999999999999</v>
      </c>
      <c r="C7" s="14" t="s">
        <v>33</v>
      </c>
      <c r="D7" s="15" t="s">
        <v>34</v>
      </c>
      <c r="E7" s="160"/>
      <c r="F7" s="160"/>
    </row>
    <row r="8" spans="1:6" ht="14.25" customHeight="1" x14ac:dyDescent="0.35">
      <c r="A8" s="1" t="s">
        <v>35</v>
      </c>
      <c r="B8" s="13">
        <v>0.5</v>
      </c>
      <c r="C8" s="14" t="s">
        <v>36</v>
      </c>
      <c r="D8" s="15" t="s">
        <v>37</v>
      </c>
      <c r="E8" s="160"/>
      <c r="F8" s="160"/>
    </row>
    <row r="9" spans="1:6" ht="14.25" customHeight="1" x14ac:dyDescent="0.35">
      <c r="A9" s="1" t="s">
        <v>38</v>
      </c>
      <c r="B9" s="17">
        <v>0.44400000000000001</v>
      </c>
      <c r="C9" s="14" t="s">
        <v>39</v>
      </c>
      <c r="D9" s="15" t="s">
        <v>40</v>
      </c>
      <c r="E9" s="160"/>
      <c r="F9" s="160"/>
    </row>
    <row r="10" spans="1:6" ht="14.25" customHeight="1" x14ac:dyDescent="0.35">
      <c r="A10" s="1" t="s">
        <v>41</v>
      </c>
      <c r="B10" s="17">
        <v>0.625</v>
      </c>
      <c r="C10" s="14" t="s">
        <v>42</v>
      </c>
      <c r="D10" s="15" t="s">
        <v>43</v>
      </c>
      <c r="E10" s="160"/>
      <c r="F10" s="160"/>
    </row>
    <row r="11" spans="1:6" ht="14.25" customHeight="1" x14ac:dyDescent="0.35">
      <c r="A11" s="1" t="s">
        <v>44</v>
      </c>
      <c r="B11" s="18">
        <f>E11*EXP($F11*(1/Parameters!$C$39-1/$B$2))</f>
        <v>1.1964814616913177E-5</v>
      </c>
      <c r="C11" s="14" t="s">
        <v>45</v>
      </c>
      <c r="D11" s="19" t="s">
        <v>46</v>
      </c>
      <c r="E11" s="18">
        <v>1.2999999999999999E-5</v>
      </c>
      <c r="F11" s="16">
        <v>1500</v>
      </c>
    </row>
    <row r="12" spans="1:6" ht="14.25" customHeight="1" x14ac:dyDescent="0.35">
      <c r="A12" s="1" t="s">
        <v>47</v>
      </c>
      <c r="B12" s="18">
        <f>E12*EXP($F12*(1/Parameters!$C$39-1/$B$2))</f>
        <v>7.5746295135334013E-6</v>
      </c>
      <c r="C12" s="14" t="s">
        <v>45</v>
      </c>
      <c r="D12" s="19" t="s">
        <v>48</v>
      </c>
      <c r="E12" s="18">
        <v>7.7999999999999999E-6</v>
      </c>
      <c r="F12" s="16">
        <v>530</v>
      </c>
    </row>
    <row r="13" spans="1:6" ht="14.25" customHeight="1" x14ac:dyDescent="0.35">
      <c r="A13" s="1" t="s">
        <v>49</v>
      </c>
      <c r="B13" s="18">
        <f>E13*EXP($F13*(1/Parameters!$C$39-1/$B$2))</f>
        <v>1.2814101671757586E-5</v>
      </c>
      <c r="C13" s="14" t="s">
        <v>45</v>
      </c>
      <c r="D13" s="19" t="s">
        <v>50</v>
      </c>
      <c r="E13" s="18">
        <v>1.4E-5</v>
      </c>
      <c r="F13" s="16">
        <v>1600</v>
      </c>
    </row>
    <row r="14" spans="1:6" ht="14.25" customHeight="1" x14ac:dyDescent="0.35">
      <c r="A14" s="1" t="s">
        <v>51</v>
      </c>
      <c r="B14" s="18">
        <f>E14*EXP($F14*(1/Parameters!$C$39-1/$B$2))</f>
        <v>9.0269147240632992E-6</v>
      </c>
      <c r="C14" s="14" t="s">
        <v>45</v>
      </c>
      <c r="D14" s="19" t="s">
        <v>52</v>
      </c>
      <c r="E14" s="18">
        <v>9.7000000000000003E-6</v>
      </c>
      <c r="F14" s="16">
        <v>1300</v>
      </c>
    </row>
    <row r="15" spans="1:6" ht="14.25" customHeight="1" x14ac:dyDescent="0.35">
      <c r="A15" s="20" t="s">
        <v>53</v>
      </c>
      <c r="B15" s="21">
        <f>E15*EXP($F15*(1/Parameters!$C$39-1/$B$2))</f>
        <v>2.977276104502391E-4</v>
      </c>
      <c r="C15" s="22" t="s">
        <v>45</v>
      </c>
      <c r="D15" s="23" t="s">
        <v>54</v>
      </c>
      <c r="E15" s="21">
        <v>3.4000000000000002E-4</v>
      </c>
      <c r="F15" s="24">
        <v>2400</v>
      </c>
    </row>
  </sheetData>
  <mergeCells count="1">
    <mergeCell ref="E2:F10"/>
  </mergeCells>
  <hyperlinks>
    <hyperlink ref="D11" r:id="rId1" xr:uid="{00000000-0004-0000-0100-000000000000}"/>
    <hyperlink ref="D12" r:id="rId2" xr:uid="{00000000-0004-0000-0100-000001000000}"/>
    <hyperlink ref="D13" r:id="rId3" xr:uid="{00000000-0004-0000-0100-000002000000}"/>
    <hyperlink ref="D14" r:id="rId4" xr:uid="{00000000-0004-0000-0100-000003000000}"/>
    <hyperlink ref="D15" r:id="rId5" xr:uid="{00000000-0004-0000-0100-000004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2"/>
  <sheetViews>
    <sheetView showGridLines="0" zoomScaleNormal="100" workbookViewId="0">
      <selection activeCell="A4" sqref="A4:D4"/>
    </sheetView>
  </sheetViews>
  <sheetFormatPr defaultColWidth="8.81640625" defaultRowHeight="14.5" x14ac:dyDescent="0.35"/>
  <cols>
    <col min="1" max="1" width="13.54296875" style="9" customWidth="1"/>
    <col min="2" max="2" width="14.453125" style="9" customWidth="1"/>
    <col min="3" max="3" width="7.453125" style="9" customWidth="1"/>
    <col min="4" max="4" width="36.54296875" style="9" customWidth="1"/>
    <col min="5" max="16384" width="8.81640625" style="9"/>
  </cols>
  <sheetData>
    <row r="1" spans="1:4" ht="15" customHeight="1" x14ac:dyDescent="0.35">
      <c r="A1" s="161" t="s">
        <v>55</v>
      </c>
      <c r="B1" s="161"/>
      <c r="C1" s="161"/>
      <c r="D1" s="161"/>
    </row>
    <row r="2" spans="1:4" ht="14.25" customHeight="1" x14ac:dyDescent="0.35">
      <c r="A2" s="1" t="s">
        <v>56</v>
      </c>
      <c r="B2" s="25">
        <v>5.29</v>
      </c>
      <c r="C2" s="26">
        <f>B2</f>
        <v>5.29</v>
      </c>
      <c r="D2" s="27" t="s">
        <v>57</v>
      </c>
    </row>
    <row r="3" spans="1:4" ht="14.25" customHeight="1" x14ac:dyDescent="0.35">
      <c r="A3" s="1" t="s">
        <v>58</v>
      </c>
      <c r="B3" s="28">
        <v>0</v>
      </c>
      <c r="C3" s="29">
        <f>(1-B3)*Constants!B6</f>
        <v>365</v>
      </c>
      <c r="D3" s="27" t="s">
        <v>59</v>
      </c>
    </row>
    <row r="4" spans="1:4" ht="14.25" customHeight="1" x14ac:dyDescent="0.35">
      <c r="A4" s="162"/>
      <c r="B4" s="162"/>
      <c r="C4" s="162"/>
      <c r="D4" s="162"/>
    </row>
    <row r="5" spans="1:4" ht="14.25" customHeight="1" x14ac:dyDescent="0.35">
      <c r="A5" s="30" t="s">
        <v>60</v>
      </c>
      <c r="B5" s="31" t="s">
        <v>61</v>
      </c>
      <c r="C5" s="31" t="s">
        <v>62</v>
      </c>
      <c r="D5" s="32" t="s">
        <v>63</v>
      </c>
    </row>
    <row r="6" spans="1:4" ht="14.25" customHeight="1" x14ac:dyDescent="0.35">
      <c r="A6" s="1" t="s">
        <v>64</v>
      </c>
      <c r="B6" s="25">
        <v>107.5</v>
      </c>
      <c r="C6" s="26">
        <f t="shared" ref="C6:C11" si="0">B6*$B$2</f>
        <v>568.67499999999995</v>
      </c>
      <c r="D6" s="27" t="s">
        <v>65</v>
      </c>
    </row>
    <row r="7" spans="1:4" ht="14.25" customHeight="1" x14ac:dyDescent="0.35">
      <c r="A7" s="1" t="s">
        <v>66</v>
      </c>
      <c r="B7" s="25">
        <v>64.8</v>
      </c>
      <c r="C7" s="26">
        <f t="shared" si="0"/>
        <v>342.79199999999997</v>
      </c>
      <c r="D7" s="27" t="s">
        <v>67</v>
      </c>
    </row>
    <row r="8" spans="1:4" ht="14.25" customHeight="1" x14ac:dyDescent="0.35">
      <c r="A8" s="1" t="s">
        <v>68</v>
      </c>
      <c r="B8" s="25">
        <v>116.114</v>
      </c>
      <c r="C8" s="26">
        <f t="shared" si="0"/>
        <v>614.24306000000001</v>
      </c>
      <c r="D8" s="27" t="s">
        <v>69</v>
      </c>
    </row>
    <row r="9" spans="1:4" ht="14.25" customHeight="1" x14ac:dyDescent="0.35">
      <c r="A9" s="1" t="s">
        <v>70</v>
      </c>
      <c r="B9" s="25">
        <v>42.645000000000003</v>
      </c>
      <c r="C9" s="26">
        <f t="shared" si="0"/>
        <v>225.59205000000003</v>
      </c>
      <c r="D9" s="27" t="s">
        <v>71</v>
      </c>
    </row>
    <row r="10" spans="1:4" ht="14.25" customHeight="1" x14ac:dyDescent="0.35">
      <c r="A10" s="1" t="s">
        <v>72</v>
      </c>
      <c r="B10" s="25">
        <v>15.225</v>
      </c>
      <c r="C10" s="26">
        <f t="shared" si="0"/>
        <v>80.54025</v>
      </c>
      <c r="D10" s="27" t="s">
        <v>73</v>
      </c>
    </row>
    <row r="11" spans="1:4" ht="14.25" customHeight="1" x14ac:dyDescent="0.35">
      <c r="A11" s="20" t="s">
        <v>74</v>
      </c>
      <c r="B11" s="33">
        <v>309.62400000000002</v>
      </c>
      <c r="C11" s="34">
        <f t="shared" si="0"/>
        <v>1637.9109600000002</v>
      </c>
      <c r="D11" s="35" t="s">
        <v>75</v>
      </c>
    </row>
    <row r="12" spans="1:4" ht="14.25" customHeight="1" x14ac:dyDescent="0.35">
      <c r="B12" s="36">
        <f>SUM(B6:B11)</f>
        <v>655.90800000000002</v>
      </c>
      <c r="C12" s="37">
        <f>SUM(C6:C11)</f>
        <v>3469.7533199999998</v>
      </c>
    </row>
  </sheetData>
  <mergeCells count="2">
    <mergeCell ref="A1:D1"/>
    <mergeCell ref="A4:D4"/>
  </mergeCells>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
  <sheetViews>
    <sheetView showGridLines="0" zoomScaleNormal="100" workbookViewId="0">
      <selection activeCell="A2" sqref="A2:E2"/>
    </sheetView>
  </sheetViews>
  <sheetFormatPr defaultColWidth="8.81640625" defaultRowHeight="14.5" x14ac:dyDescent="0.35"/>
  <cols>
    <col min="1" max="1" width="18" customWidth="1"/>
    <col min="2" max="2" width="17.1796875" customWidth="1"/>
    <col min="3" max="3" width="11.54296875" customWidth="1"/>
    <col min="4" max="4" width="9.54296875" customWidth="1"/>
    <col min="5" max="5" width="90.90625" customWidth="1"/>
  </cols>
  <sheetData>
    <row r="1" spans="1:7" ht="15" customHeight="1" x14ac:dyDescent="0.35">
      <c r="A1" s="161" t="s">
        <v>76</v>
      </c>
      <c r="B1" s="161"/>
      <c r="C1" s="161"/>
      <c r="D1" s="161"/>
      <c r="E1" s="161"/>
    </row>
    <row r="2" spans="1:7" ht="14.25" customHeight="1" x14ac:dyDescent="0.35">
      <c r="A2" s="163"/>
      <c r="B2" s="163"/>
      <c r="C2" s="163"/>
      <c r="D2" s="163"/>
      <c r="E2" s="163"/>
    </row>
    <row r="3" spans="1:7" ht="14.25" customHeight="1" x14ac:dyDescent="0.35">
      <c r="A3" s="38" t="s">
        <v>77</v>
      </c>
      <c r="B3" s="31" t="s">
        <v>16</v>
      </c>
      <c r="C3" s="31" t="s">
        <v>78</v>
      </c>
      <c r="D3" s="31" t="s">
        <v>79</v>
      </c>
      <c r="E3" s="32" t="s">
        <v>63</v>
      </c>
      <c r="F3" s="31" t="s">
        <v>80</v>
      </c>
      <c r="G3" s="31" t="s">
        <v>81</v>
      </c>
    </row>
    <row r="4" spans="1:7" ht="14.25" customHeight="1" x14ac:dyDescent="0.35">
      <c r="A4" s="1" t="s">
        <v>82</v>
      </c>
      <c r="B4" s="39" t="s">
        <v>83</v>
      </c>
      <c r="C4" s="40">
        <v>120</v>
      </c>
      <c r="D4" s="40">
        <v>400</v>
      </c>
      <c r="E4" s="27" t="s">
        <v>84</v>
      </c>
    </row>
    <row r="5" spans="1:7" ht="14.25" customHeight="1" x14ac:dyDescent="0.35">
      <c r="A5" s="1" t="s">
        <v>85</v>
      </c>
      <c r="B5" s="39" t="s">
        <v>86</v>
      </c>
      <c r="C5" s="41">
        <v>0.25</v>
      </c>
      <c r="D5" s="41">
        <v>0.4</v>
      </c>
      <c r="E5" s="27" t="s">
        <v>87</v>
      </c>
    </row>
    <row r="6" spans="1:7" ht="14.25" customHeight="1" x14ac:dyDescent="0.35">
      <c r="A6" s="1" t="s">
        <v>88</v>
      </c>
      <c r="B6" s="39" t="s">
        <v>86</v>
      </c>
      <c r="C6" s="41">
        <v>0.6</v>
      </c>
      <c r="D6" s="41">
        <v>0.8</v>
      </c>
      <c r="E6" s="27" t="s">
        <v>89</v>
      </c>
    </row>
    <row r="7" spans="1:7" ht="14.25" customHeight="1" x14ac:dyDescent="0.35">
      <c r="A7" s="1" t="s">
        <v>90</v>
      </c>
      <c r="B7" s="39" t="s">
        <v>91</v>
      </c>
      <c r="C7" s="41">
        <v>0.21</v>
      </c>
      <c r="D7" s="41">
        <v>0.21</v>
      </c>
      <c r="E7" s="27" t="s">
        <v>92</v>
      </c>
    </row>
    <row r="8" spans="1:7" ht="14.25" customHeight="1" x14ac:dyDescent="0.35">
      <c r="A8" s="1" t="s">
        <v>93</v>
      </c>
      <c r="B8" s="39" t="s">
        <v>91</v>
      </c>
      <c r="C8" s="41">
        <v>0.2</v>
      </c>
      <c r="D8" s="41">
        <v>0.6</v>
      </c>
      <c r="E8" s="42" t="s">
        <v>94</v>
      </c>
    </row>
    <row r="9" spans="1:7" ht="14.25" customHeight="1" x14ac:dyDescent="0.35">
      <c r="A9" s="1" t="s">
        <v>95</v>
      </c>
      <c r="B9" s="39" t="s">
        <v>91</v>
      </c>
      <c r="C9" s="41">
        <v>0.1</v>
      </c>
      <c r="D9" s="41">
        <v>0.1</v>
      </c>
      <c r="E9" s="27" t="s">
        <v>96</v>
      </c>
    </row>
    <row r="10" spans="1:7" ht="14.25" customHeight="1" x14ac:dyDescent="0.35">
      <c r="A10" s="1" t="s">
        <v>97</v>
      </c>
      <c r="B10" s="39" t="s">
        <v>91</v>
      </c>
      <c r="C10" s="41">
        <v>0.05</v>
      </c>
      <c r="D10" s="41">
        <v>0.2</v>
      </c>
      <c r="E10" s="27" t="s">
        <v>98</v>
      </c>
    </row>
    <row r="11" spans="1:7" ht="14.25" customHeight="1" x14ac:dyDescent="0.35">
      <c r="A11" s="1" t="s">
        <v>99</v>
      </c>
      <c r="B11" s="39" t="s">
        <v>100</v>
      </c>
      <c r="C11" s="25">
        <v>5</v>
      </c>
      <c r="D11" s="25">
        <v>3.5</v>
      </c>
      <c r="E11" s="27" t="s">
        <v>101</v>
      </c>
    </row>
    <row r="12" spans="1:7" ht="14.25" customHeight="1" x14ac:dyDescent="0.35">
      <c r="A12" s="1" t="s">
        <v>102</v>
      </c>
      <c r="B12" s="39" t="s">
        <v>91</v>
      </c>
      <c r="C12" s="41">
        <v>0.2</v>
      </c>
      <c r="D12" s="41">
        <v>0.5</v>
      </c>
      <c r="E12" s="42" t="s">
        <v>103</v>
      </c>
    </row>
    <row r="13" spans="1:7" ht="14.25" customHeight="1" x14ac:dyDescent="0.35">
      <c r="A13" s="1" t="s">
        <v>104</v>
      </c>
      <c r="B13" s="39" t="s">
        <v>91</v>
      </c>
      <c r="C13" s="41">
        <v>0.2</v>
      </c>
      <c r="D13" s="41">
        <v>0.4</v>
      </c>
      <c r="E13" s="42" t="s">
        <v>105</v>
      </c>
    </row>
    <row r="14" spans="1:7" ht="14.25" customHeight="1" x14ac:dyDescent="0.35">
      <c r="A14" s="1" t="s">
        <v>106</v>
      </c>
      <c r="B14" s="39" t="s">
        <v>107</v>
      </c>
      <c r="C14" s="25">
        <v>1.5</v>
      </c>
      <c r="D14" s="25">
        <v>1.5</v>
      </c>
      <c r="E14" s="27" t="s">
        <v>108</v>
      </c>
    </row>
    <row r="15" spans="1:7" ht="14.25" customHeight="1" x14ac:dyDescent="0.35">
      <c r="A15" s="1" t="s">
        <v>109</v>
      </c>
      <c r="B15" s="39" t="s">
        <v>110</v>
      </c>
      <c r="C15" s="25">
        <v>1.2</v>
      </c>
      <c r="D15" s="25">
        <v>1.2</v>
      </c>
      <c r="E15" s="27" t="s">
        <v>111</v>
      </c>
    </row>
    <row r="16" spans="1:7" ht="14.25" customHeight="1" x14ac:dyDescent="0.35">
      <c r="A16" s="1" t="s">
        <v>112</v>
      </c>
      <c r="B16" s="39" t="s">
        <v>113</v>
      </c>
      <c r="C16" s="40">
        <v>15</v>
      </c>
      <c r="D16" s="40">
        <v>35</v>
      </c>
      <c r="E16" s="27" t="s">
        <v>114</v>
      </c>
    </row>
    <row r="17" spans="1:7" ht="14.25" customHeight="1" x14ac:dyDescent="0.35">
      <c r="A17" s="1" t="s">
        <v>115</v>
      </c>
      <c r="B17" s="39" t="s">
        <v>116</v>
      </c>
      <c r="C17" s="40">
        <v>20</v>
      </c>
      <c r="D17" s="40">
        <v>60</v>
      </c>
      <c r="E17" s="27" t="s">
        <v>117</v>
      </c>
    </row>
    <row r="18" spans="1:7" ht="14.25" customHeight="1" x14ac:dyDescent="0.35">
      <c r="A18" s="1" t="s">
        <v>118</v>
      </c>
      <c r="B18" s="39" t="s">
        <v>119</v>
      </c>
      <c r="C18" s="40">
        <v>12</v>
      </c>
      <c r="D18" s="40">
        <v>24</v>
      </c>
      <c r="E18" s="27" t="s">
        <v>120</v>
      </c>
    </row>
    <row r="19" spans="1:7" ht="14.25" customHeight="1" x14ac:dyDescent="0.35">
      <c r="A19" s="1" t="s">
        <v>121</v>
      </c>
      <c r="B19" s="39" t="s">
        <v>122</v>
      </c>
      <c r="C19" s="40">
        <v>24</v>
      </c>
      <c r="D19" s="40">
        <v>12</v>
      </c>
      <c r="E19" s="42" t="s">
        <v>123</v>
      </c>
    </row>
    <row r="20" spans="1:7" ht="14.25" customHeight="1" x14ac:dyDescent="0.35">
      <c r="A20" s="1" t="s">
        <v>124</v>
      </c>
      <c r="B20" s="39" t="s">
        <v>86</v>
      </c>
      <c r="C20" s="41">
        <v>0.9</v>
      </c>
      <c r="D20" s="41">
        <v>0.95</v>
      </c>
      <c r="E20" s="42" t="s">
        <v>125</v>
      </c>
    </row>
    <row r="21" spans="1:7" ht="14.25" customHeight="1" x14ac:dyDescent="0.35">
      <c r="A21" s="1" t="s">
        <v>126</v>
      </c>
      <c r="B21" s="39" t="s">
        <v>119</v>
      </c>
      <c r="C21" s="40">
        <v>22</v>
      </c>
      <c r="D21" s="40">
        <v>67</v>
      </c>
      <c r="E21" s="27" t="s">
        <v>127</v>
      </c>
    </row>
    <row r="22" spans="1:7" ht="14.25" customHeight="1" x14ac:dyDescent="0.35">
      <c r="A22" s="1" t="s">
        <v>128</v>
      </c>
      <c r="B22" s="39" t="s">
        <v>129</v>
      </c>
      <c r="C22" s="41">
        <v>0.05</v>
      </c>
      <c r="D22" s="41">
        <v>0.15</v>
      </c>
      <c r="E22" s="27" t="s">
        <v>130</v>
      </c>
    </row>
    <row r="23" spans="1:7" ht="14.25" customHeight="1" x14ac:dyDescent="0.35">
      <c r="A23" s="1" t="s">
        <v>131</v>
      </c>
      <c r="B23" s="39" t="s">
        <v>119</v>
      </c>
      <c r="C23" s="40">
        <v>31</v>
      </c>
      <c r="D23" s="40">
        <v>94</v>
      </c>
      <c r="E23" s="27" t="s">
        <v>132</v>
      </c>
    </row>
    <row r="24" spans="1:7" ht="14.25" customHeight="1" x14ac:dyDescent="0.35">
      <c r="A24" s="1" t="s">
        <v>133</v>
      </c>
      <c r="B24" s="39" t="s">
        <v>129</v>
      </c>
      <c r="C24" s="41">
        <v>1.4999999999999999E-2</v>
      </c>
      <c r="D24" s="41">
        <v>0.1</v>
      </c>
      <c r="E24" s="42" t="s">
        <v>134</v>
      </c>
    </row>
    <row r="25" spans="1:7" ht="14.25" customHeight="1" x14ac:dyDescent="0.35">
      <c r="A25" s="1" t="s">
        <v>135</v>
      </c>
      <c r="B25" s="39" t="s">
        <v>129</v>
      </c>
      <c r="C25" s="41">
        <v>3.0000000000000001E-3</v>
      </c>
      <c r="D25" s="41">
        <v>0.02</v>
      </c>
      <c r="E25" s="42" t="s">
        <v>134</v>
      </c>
    </row>
    <row r="26" spans="1:7" ht="14.25" customHeight="1" x14ac:dyDescent="0.35">
      <c r="A26" s="1" t="s">
        <v>136</v>
      </c>
      <c r="B26" s="39" t="s">
        <v>129</v>
      </c>
      <c r="C26" s="41">
        <v>0</v>
      </c>
      <c r="D26" s="41">
        <v>0</v>
      </c>
      <c r="E26" s="27" t="s">
        <v>134</v>
      </c>
    </row>
    <row r="27" spans="1:7" ht="14.25" customHeight="1" x14ac:dyDescent="0.35">
      <c r="A27" s="1" t="s">
        <v>137</v>
      </c>
      <c r="B27" s="39" t="s">
        <v>86</v>
      </c>
      <c r="C27" s="25">
        <v>1</v>
      </c>
      <c r="D27" s="25">
        <v>1</v>
      </c>
      <c r="E27" s="27" t="s">
        <v>138</v>
      </c>
    </row>
    <row r="28" spans="1:7" ht="14.25" customHeight="1" x14ac:dyDescent="0.35">
      <c r="A28" s="1" t="s">
        <v>139</v>
      </c>
      <c r="B28" s="39" t="s">
        <v>86</v>
      </c>
      <c r="C28" s="41">
        <v>0.1</v>
      </c>
      <c r="D28" s="41">
        <v>0.1</v>
      </c>
      <c r="E28" s="27" t="s">
        <v>140</v>
      </c>
    </row>
    <row r="29" spans="1:7" ht="14.25" customHeight="1" x14ac:dyDescent="0.35">
      <c r="A29" s="1" t="s">
        <v>141</v>
      </c>
      <c r="B29" s="39" t="s">
        <v>86</v>
      </c>
      <c r="C29" s="25">
        <v>4</v>
      </c>
      <c r="D29" s="25">
        <v>4</v>
      </c>
      <c r="E29" s="27" t="s">
        <v>142</v>
      </c>
    </row>
    <row r="30" spans="1:7" ht="14.25" customHeight="1" x14ac:dyDescent="0.35">
      <c r="A30" s="1" t="s">
        <v>143</v>
      </c>
      <c r="B30" s="39" t="s">
        <v>144</v>
      </c>
      <c r="C30" s="43">
        <f>F30/(1+Parameters!$C$41*F30/(Constants!$B$8*Parameters!$C$40))</f>
        <v>0.546875</v>
      </c>
      <c r="D30" s="43">
        <f>G30/(1+Parameters!$D$41*G30/(Constants!$B$8*Parameters!$D$40))</f>
        <v>0.63432835820895517</v>
      </c>
      <c r="E30" s="42" t="s">
        <v>145</v>
      </c>
      <c r="F30" s="41">
        <v>0.7</v>
      </c>
      <c r="G30" s="41">
        <v>0.85</v>
      </c>
    </row>
    <row r="31" spans="1:7" ht="14.25" customHeight="1" x14ac:dyDescent="0.35">
      <c r="A31" s="1" t="s">
        <v>146</v>
      </c>
      <c r="B31" s="39" t="s">
        <v>144</v>
      </c>
      <c r="C31" s="43">
        <f>F31/(1+Parameters!$C$41*F31/(Constants!$B$8*Parameters!$C$40))</f>
        <v>0.60606060606060608</v>
      </c>
      <c r="D31" s="43">
        <f>G31/(1+Parameters!$D$41*G31/(Constants!$B$8*Parameters!$D$40))</f>
        <v>0.63432835820895517</v>
      </c>
      <c r="E31" s="42" t="s">
        <v>147</v>
      </c>
      <c r="F31" s="41">
        <v>0.8</v>
      </c>
      <c r="G31" s="41">
        <v>0.85</v>
      </c>
    </row>
    <row r="32" spans="1:7" ht="14.25" customHeight="1" x14ac:dyDescent="0.35">
      <c r="A32" s="1" t="s">
        <v>148</v>
      </c>
      <c r="B32" s="39" t="s">
        <v>144</v>
      </c>
      <c r="C32" s="43">
        <f>F32/(1+Parameters!$C$41*F32/(Constants!$B$8*Parameters!$C$40))</f>
        <v>0.14150943396226415</v>
      </c>
      <c r="D32" s="43">
        <f>G32/(1+Parameters!$D$41*G32/(Constants!$B$8*Parameters!$D$40))</f>
        <v>0.18518518518518517</v>
      </c>
      <c r="E32" s="42" t="s">
        <v>149</v>
      </c>
      <c r="F32" s="41">
        <v>0.15</v>
      </c>
      <c r="G32" s="41">
        <v>0.2</v>
      </c>
    </row>
    <row r="33" spans="1:7" ht="14.25" customHeight="1" x14ac:dyDescent="0.35">
      <c r="A33" s="1" t="s">
        <v>150</v>
      </c>
      <c r="B33" s="39" t="s">
        <v>144</v>
      </c>
      <c r="C33" s="43">
        <f>F33/(1+Parameters!$C$41*F33/(Constants!$B$8*Parameters!$C$40))</f>
        <v>0.4508196721311476</v>
      </c>
      <c r="D33" s="43">
        <f>G33/(1+Parameters!$D$41*G33/(Constants!$B$8*Parameters!$D$40))</f>
        <v>0.51587301587301593</v>
      </c>
      <c r="E33" s="42" t="s">
        <v>151</v>
      </c>
      <c r="F33" s="41">
        <v>0.55000000000000004</v>
      </c>
      <c r="G33" s="41">
        <v>0.65</v>
      </c>
    </row>
    <row r="34" spans="1:7" ht="14.25" customHeight="1" x14ac:dyDescent="0.35">
      <c r="A34" s="1" t="s">
        <v>152</v>
      </c>
      <c r="B34" s="39" t="s">
        <v>144</v>
      </c>
      <c r="C34" s="43">
        <f>F34/(1+Parameters!$C$41*F34/(Constants!$B$8*Parameters!$C$40))</f>
        <v>0.4508196721311476</v>
      </c>
      <c r="D34" s="43">
        <f>G34/(1+Parameters!$D$41*G34/(Constants!$B$8*Parameters!$D$40))</f>
        <v>0.51587301587301593</v>
      </c>
      <c r="E34" s="27" t="s">
        <v>153</v>
      </c>
      <c r="F34" s="41">
        <v>0.55000000000000004</v>
      </c>
      <c r="G34" s="41">
        <v>0.65</v>
      </c>
    </row>
    <row r="35" spans="1:7" ht="14.25" customHeight="1" x14ac:dyDescent="0.35">
      <c r="A35" s="1" t="s">
        <v>154</v>
      </c>
      <c r="B35" s="39" t="s">
        <v>144</v>
      </c>
      <c r="C35" s="43">
        <f>F35/(1+Parameters!$C$41*F35/(Constants!$B$8*Parameters!$C$40))</f>
        <v>0.41666666666666669</v>
      </c>
      <c r="D35" s="43">
        <f>G35/(1+Parameters!$D$41*G35/(Constants!$B$8*Parameters!$D$40))</f>
        <v>0.48387096774193544</v>
      </c>
      <c r="E35" s="27" t="s">
        <v>155</v>
      </c>
      <c r="F35" s="41">
        <v>0.5</v>
      </c>
      <c r="G35" s="41">
        <v>0.6</v>
      </c>
    </row>
    <row r="36" spans="1:7" ht="14.25" customHeight="1" x14ac:dyDescent="0.35">
      <c r="A36" s="1" t="s">
        <v>156</v>
      </c>
      <c r="B36" s="39" t="s">
        <v>144</v>
      </c>
      <c r="C36" s="41">
        <v>0</v>
      </c>
      <c r="D36" s="41">
        <v>0</v>
      </c>
      <c r="E36" s="27" t="s">
        <v>157</v>
      </c>
    </row>
    <row r="37" spans="1:7" ht="27.75" customHeight="1" x14ac:dyDescent="0.35">
      <c r="A37" s="20" t="s">
        <v>158</v>
      </c>
      <c r="B37" s="44" t="s">
        <v>86</v>
      </c>
      <c r="C37" s="45">
        <v>0.15</v>
      </c>
      <c r="D37" s="45">
        <v>0.35</v>
      </c>
      <c r="E37" s="46" t="s">
        <v>159</v>
      </c>
    </row>
    <row r="39" spans="1:7" ht="14.25" customHeight="1" x14ac:dyDescent="0.35">
      <c r="A39" s="1" t="s">
        <v>160</v>
      </c>
      <c r="B39" s="39" t="s">
        <v>21</v>
      </c>
      <c r="C39" s="41">
        <v>303.14999999999998</v>
      </c>
      <c r="D39" s="41">
        <v>303.14999999999998</v>
      </c>
      <c r="E39" s="27" t="s">
        <v>161</v>
      </c>
    </row>
    <row r="40" spans="1:7" ht="14.25" customHeight="1" x14ac:dyDescent="0.35">
      <c r="A40" s="1" t="s">
        <v>162</v>
      </c>
      <c r="B40" s="39" t="s">
        <v>83</v>
      </c>
      <c r="C40" s="47">
        <v>0.1</v>
      </c>
      <c r="D40" s="47">
        <v>0.1</v>
      </c>
      <c r="E40" s="27" t="s">
        <v>163</v>
      </c>
    </row>
    <row r="41" spans="1:7" ht="14.25" customHeight="1" x14ac:dyDescent="0.35">
      <c r="A41" s="1" t="s">
        <v>164</v>
      </c>
      <c r="B41" s="39" t="s">
        <v>165</v>
      </c>
      <c r="C41" s="47">
        <v>0.02</v>
      </c>
      <c r="D41" s="47">
        <v>0.02</v>
      </c>
      <c r="E41" s="27" t="s">
        <v>166</v>
      </c>
    </row>
  </sheetData>
  <mergeCells count="2">
    <mergeCell ref="A1:E1"/>
    <mergeCell ref="A2:E2"/>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9"/>
  <sheetViews>
    <sheetView zoomScaleNormal="100" workbookViewId="0">
      <selection activeCell="E2" sqref="E2"/>
    </sheetView>
  </sheetViews>
  <sheetFormatPr defaultColWidth="8.81640625" defaultRowHeight="14.5" x14ac:dyDescent="0.35"/>
  <cols>
    <col min="1" max="1" width="21.81640625" style="48" customWidth="1"/>
    <col min="2" max="2" width="13.08984375" style="48" customWidth="1"/>
    <col min="3" max="3" width="13.1796875" style="48" customWidth="1"/>
    <col min="4" max="4" width="57.36328125" style="48" customWidth="1"/>
    <col min="5" max="5" width="8.81640625" style="48"/>
    <col min="6" max="6" width="12.6328125" style="48" customWidth="1"/>
    <col min="7" max="7" width="42.1796875" style="48" customWidth="1"/>
    <col min="8" max="8" width="13.08984375" style="48" customWidth="1"/>
    <col min="9" max="9" width="13.1796875" style="48" customWidth="1"/>
    <col min="10" max="11" width="3.1796875" style="48" customWidth="1"/>
    <col min="12" max="16384" width="8.81640625" style="48"/>
  </cols>
  <sheetData>
    <row r="1" spans="1:11" ht="15" customHeight="1" x14ac:dyDescent="0.35">
      <c r="A1" s="164" t="s">
        <v>167</v>
      </c>
      <c r="B1" s="164"/>
      <c r="C1" s="164"/>
      <c r="D1" s="164"/>
      <c r="F1" s="164" t="s">
        <v>168</v>
      </c>
      <c r="G1" s="164"/>
      <c r="H1" s="164"/>
      <c r="I1" s="164"/>
      <c r="J1" s="164"/>
      <c r="K1" s="164"/>
    </row>
    <row r="2" spans="1:11" ht="14.25" customHeight="1" x14ac:dyDescent="0.35">
      <c r="A2" s="165"/>
      <c r="B2" s="165"/>
      <c r="C2" s="165"/>
      <c r="D2" s="165"/>
      <c r="F2" s="166"/>
      <c r="G2" s="166"/>
      <c r="H2" s="166"/>
      <c r="I2" s="166"/>
      <c r="J2" s="166"/>
      <c r="K2" s="166"/>
    </row>
    <row r="3" spans="1:11" ht="41.25" customHeight="1" x14ac:dyDescent="0.35">
      <c r="A3" s="49" t="s">
        <v>77</v>
      </c>
      <c r="B3" s="50" t="s">
        <v>78</v>
      </c>
      <c r="C3" s="50" t="s">
        <v>79</v>
      </c>
      <c r="D3" s="49" t="s">
        <v>63</v>
      </c>
      <c r="F3" s="51" t="s">
        <v>169</v>
      </c>
      <c r="G3" s="51" t="s">
        <v>170</v>
      </c>
      <c r="H3" s="50" t="s">
        <v>78</v>
      </c>
      <c r="I3" s="50" t="s">
        <v>79</v>
      </c>
      <c r="J3" s="167" t="s">
        <v>171</v>
      </c>
      <c r="K3" s="167"/>
    </row>
    <row r="4" spans="1:11" ht="14.25" customHeight="1" x14ac:dyDescent="0.35">
      <c r="A4" s="1" t="s">
        <v>172</v>
      </c>
      <c r="B4" s="28">
        <v>0.9</v>
      </c>
      <c r="C4" s="28">
        <v>0.5</v>
      </c>
      <c r="D4" s="42" t="s">
        <v>173</v>
      </c>
      <c r="F4" s="168" t="s">
        <v>174</v>
      </c>
      <c r="G4" s="52" t="s">
        <v>175</v>
      </c>
      <c r="H4" s="53">
        <v>0.75</v>
      </c>
      <c r="I4" s="53">
        <v>0.25</v>
      </c>
      <c r="J4" s="169" t="str">
        <f>IF(($H$4+$H$5)=1,"OK","VIOLATION")</f>
        <v>OK</v>
      </c>
      <c r="K4" s="170" t="str">
        <f>IF(($I$4+$I$5)=1,"OK","VIOLATION")</f>
        <v>OK</v>
      </c>
    </row>
    <row r="5" spans="1:11" ht="14.25" customHeight="1" x14ac:dyDescent="0.35">
      <c r="A5" s="1" t="s">
        <v>176</v>
      </c>
      <c r="B5" s="28">
        <f>Parameters!C20</f>
        <v>0.9</v>
      </c>
      <c r="C5" s="28">
        <f>Parameters!D20</f>
        <v>0.95</v>
      </c>
      <c r="D5" s="42" t="s">
        <v>177</v>
      </c>
      <c r="F5" s="168"/>
      <c r="G5" s="14" t="s">
        <v>178</v>
      </c>
      <c r="H5" s="28">
        <v>0.25</v>
      </c>
      <c r="I5" s="28">
        <v>0.75</v>
      </c>
      <c r="J5" s="169"/>
      <c r="K5" s="170"/>
    </row>
    <row r="6" spans="1:11" ht="14.25" customHeight="1" x14ac:dyDescent="0.35">
      <c r="A6" s="1" t="s">
        <v>179</v>
      </c>
      <c r="B6" s="28">
        <v>0.6</v>
      </c>
      <c r="C6" s="28">
        <v>0.75</v>
      </c>
      <c r="D6" s="27" t="s">
        <v>180</v>
      </c>
      <c r="F6" s="1" t="s">
        <v>181</v>
      </c>
      <c r="G6" s="54" t="s">
        <v>182</v>
      </c>
      <c r="H6" s="28">
        <v>1</v>
      </c>
      <c r="I6" s="28">
        <v>1</v>
      </c>
      <c r="J6" s="39" t="str">
        <f>IF($H$6=1,"OK","VIOLATION")</f>
        <v>OK</v>
      </c>
      <c r="K6" s="27" t="str">
        <f>IF($I$6=1,"OK","VIOLATION")</f>
        <v>OK</v>
      </c>
    </row>
    <row r="7" spans="1:11" ht="14.25" customHeight="1" x14ac:dyDescent="0.35">
      <c r="A7" s="1" t="s">
        <v>183</v>
      </c>
      <c r="B7" s="28">
        <v>0.1</v>
      </c>
      <c r="C7" s="28">
        <v>0.05</v>
      </c>
      <c r="D7" s="27" t="s">
        <v>184</v>
      </c>
      <c r="F7" s="1" t="s">
        <v>185</v>
      </c>
      <c r="G7" s="14" t="s">
        <v>186</v>
      </c>
      <c r="H7" s="28">
        <v>1</v>
      </c>
      <c r="I7" s="28">
        <v>1</v>
      </c>
      <c r="J7" s="39" t="str">
        <f>IF($H$7=1,"OK","VIOLATION")</f>
        <v>OK</v>
      </c>
      <c r="K7" s="27" t="str">
        <f>IF($I$7=1,"OK","VIOLATION")</f>
        <v>OK</v>
      </c>
    </row>
    <row r="8" spans="1:11" ht="14.25" customHeight="1" x14ac:dyDescent="0.35">
      <c r="A8" s="1" t="s">
        <v>187</v>
      </c>
      <c r="B8" s="28">
        <v>0.3</v>
      </c>
      <c r="C8" s="28">
        <v>0.2</v>
      </c>
      <c r="D8" s="27" t="s">
        <v>188</v>
      </c>
      <c r="F8" s="1" t="s">
        <v>189</v>
      </c>
      <c r="G8" s="14" t="s">
        <v>190</v>
      </c>
      <c r="H8" s="28">
        <v>1</v>
      </c>
      <c r="I8" s="28">
        <v>1</v>
      </c>
      <c r="J8" s="39" t="str">
        <f>IF($H$8=1,"OK","VIOLATION")</f>
        <v>OK</v>
      </c>
      <c r="K8" s="27" t="str">
        <f>IF($I$8=1,"OK","VIOLATION")</f>
        <v>OK</v>
      </c>
    </row>
    <row r="9" spans="1:11" ht="14.25" customHeight="1" x14ac:dyDescent="0.35">
      <c r="A9" s="1" t="s">
        <v>191</v>
      </c>
      <c r="B9" s="28">
        <v>0.1</v>
      </c>
      <c r="C9" s="28">
        <v>0.9</v>
      </c>
      <c r="D9" s="42" t="s">
        <v>192</v>
      </c>
      <c r="F9" s="171" t="s">
        <v>66</v>
      </c>
      <c r="G9" s="14" t="s">
        <v>193</v>
      </c>
      <c r="H9" s="28">
        <v>0.75</v>
      </c>
      <c r="I9" s="28">
        <v>0.25</v>
      </c>
      <c r="J9" s="172" t="str">
        <f>IF(($H$9+$H$10)=1,"OK","VIOLATION")</f>
        <v>OK</v>
      </c>
      <c r="K9" s="173" t="str">
        <f>IF(($I$9+$I$10)=1,"OK","VIOLATION")</f>
        <v>OK</v>
      </c>
    </row>
    <row r="10" spans="1:11" ht="14.25" customHeight="1" x14ac:dyDescent="0.35">
      <c r="A10" s="1" t="s">
        <v>194</v>
      </c>
      <c r="B10" s="28">
        <v>0.74</v>
      </c>
      <c r="C10" s="28">
        <v>0.82</v>
      </c>
      <c r="D10" s="27" t="s">
        <v>195</v>
      </c>
      <c r="F10" s="171"/>
      <c r="G10" s="14" t="s">
        <v>196</v>
      </c>
      <c r="H10" s="28">
        <v>0.25</v>
      </c>
      <c r="I10" s="28">
        <v>0.75</v>
      </c>
      <c r="J10" s="172"/>
      <c r="K10" s="173"/>
    </row>
    <row r="11" spans="1:11" ht="14.25" customHeight="1" x14ac:dyDescent="0.35">
      <c r="A11" s="1" t="s">
        <v>197</v>
      </c>
      <c r="B11" s="28">
        <v>0.45186335403726702</v>
      </c>
      <c r="C11" s="28">
        <v>0.59899999999999998</v>
      </c>
      <c r="D11" s="27" t="s">
        <v>198</v>
      </c>
      <c r="F11" s="1" t="s">
        <v>68</v>
      </c>
      <c r="G11" s="14" t="s">
        <v>199</v>
      </c>
      <c r="H11" s="28">
        <v>1</v>
      </c>
      <c r="I11" s="28">
        <v>1</v>
      </c>
      <c r="J11" s="39" t="str">
        <f>IF($H$11=1,"OK","VIOLATION")</f>
        <v>OK</v>
      </c>
      <c r="K11" s="27" t="str">
        <f>IF($I$11=1,"OK","VIOLATION")</f>
        <v>OK</v>
      </c>
    </row>
    <row r="12" spans="1:11" ht="14.25" customHeight="1" x14ac:dyDescent="0.35">
      <c r="A12" s="1" t="s">
        <v>200</v>
      </c>
      <c r="B12" s="28">
        <v>0.309006211180124</v>
      </c>
      <c r="C12" s="28">
        <v>0.25800000000000001</v>
      </c>
      <c r="D12" s="27" t="s">
        <v>201</v>
      </c>
      <c r="F12" s="1" t="s">
        <v>70</v>
      </c>
      <c r="G12" s="14" t="s">
        <v>202</v>
      </c>
      <c r="H12" s="28">
        <v>1</v>
      </c>
      <c r="I12" s="28">
        <v>1</v>
      </c>
      <c r="J12" s="39" t="str">
        <f>IF($H$12=1,"OK","VIOLATION")</f>
        <v>OK</v>
      </c>
      <c r="K12" s="27" t="str">
        <f>IF($I$12=1,"OK","VIOLATION")</f>
        <v>OK</v>
      </c>
    </row>
    <row r="13" spans="1:11" ht="14.25" customHeight="1" x14ac:dyDescent="0.35">
      <c r="A13" s="1" t="s">
        <v>203</v>
      </c>
      <c r="B13" s="28">
        <v>0.23913043478260901</v>
      </c>
      <c r="C13" s="28">
        <v>0.14299999999999999</v>
      </c>
      <c r="D13" s="27" t="s">
        <v>204</v>
      </c>
      <c r="F13" s="1" t="s">
        <v>72</v>
      </c>
      <c r="G13" s="14" t="s">
        <v>202</v>
      </c>
      <c r="H13" s="28">
        <v>1</v>
      </c>
      <c r="I13" s="28">
        <v>1</v>
      </c>
      <c r="J13" s="39" t="str">
        <f>IF($H$13=1,"OK","VIOLATION")</f>
        <v>OK</v>
      </c>
      <c r="K13" s="27" t="str">
        <f>IF($I$13=1,"OK","VIOLATION")</f>
        <v>OK</v>
      </c>
    </row>
    <row r="14" spans="1:11" ht="14.25" customHeight="1" x14ac:dyDescent="0.35">
      <c r="A14" s="1" t="s">
        <v>205</v>
      </c>
      <c r="B14" s="28">
        <v>0.5</v>
      </c>
      <c r="C14" s="28">
        <v>0.95</v>
      </c>
      <c r="D14" s="42" t="s">
        <v>206</v>
      </c>
      <c r="F14" s="55"/>
      <c r="K14" s="56"/>
    </row>
    <row r="15" spans="1:11" ht="14.25" customHeight="1" x14ac:dyDescent="0.35">
      <c r="A15" s="1" t="s">
        <v>207</v>
      </c>
      <c r="B15" s="28">
        <v>0.9</v>
      </c>
      <c r="C15" s="28">
        <v>1</v>
      </c>
      <c r="D15" s="27" t="s">
        <v>208</v>
      </c>
      <c r="F15" s="55"/>
      <c r="K15" s="56"/>
    </row>
    <row r="16" spans="1:11" ht="15" customHeight="1" x14ac:dyDescent="0.35">
      <c r="A16" s="57"/>
      <c r="B16" s="58"/>
      <c r="C16" s="58"/>
      <c r="D16" s="59"/>
      <c r="F16" s="164" t="s">
        <v>209</v>
      </c>
      <c r="G16" s="164"/>
      <c r="H16" s="164"/>
      <c r="I16" s="164"/>
      <c r="J16" s="164"/>
      <c r="K16" s="164"/>
    </row>
    <row r="17" spans="1:11" ht="15" customHeight="1" x14ac:dyDescent="0.35">
      <c r="A17" s="164" t="s">
        <v>210</v>
      </c>
      <c r="B17" s="164"/>
      <c r="C17" s="164"/>
      <c r="D17" s="164"/>
      <c r="F17" s="174"/>
      <c r="G17" s="174"/>
      <c r="H17" s="174"/>
      <c r="I17" s="174"/>
      <c r="K17" s="56"/>
    </row>
    <row r="18" spans="1:11" ht="14.25" customHeight="1" x14ac:dyDescent="0.35">
      <c r="A18" s="165"/>
      <c r="B18" s="165"/>
      <c r="C18" s="165"/>
      <c r="D18" s="165"/>
      <c r="F18" s="49" t="s">
        <v>169</v>
      </c>
      <c r="G18" s="49" t="s">
        <v>170</v>
      </c>
      <c r="H18" s="49" t="s">
        <v>211</v>
      </c>
      <c r="I18" s="49" t="s">
        <v>212</v>
      </c>
      <c r="J18" s="175" t="s">
        <v>63</v>
      </c>
      <c r="K18" s="175"/>
    </row>
    <row r="19" spans="1:11" ht="14.25" customHeight="1" x14ac:dyDescent="0.35">
      <c r="A19" s="49" t="s">
        <v>169</v>
      </c>
      <c r="B19" s="49" t="s">
        <v>211</v>
      </c>
      <c r="C19" s="49" t="s">
        <v>212</v>
      </c>
      <c r="D19" s="49" t="s">
        <v>213</v>
      </c>
      <c r="F19" s="176" t="str">
        <f>F4</f>
        <v>CO2_available</v>
      </c>
      <c r="G19" s="52" t="str">
        <f>G4</f>
        <v>Photoautotroph (aerobic); light (energy)</v>
      </c>
      <c r="H19" s="60">
        <f>H4*B$33</f>
        <v>255.35900948999998</v>
      </c>
      <c r="I19" s="60">
        <f>I4*C$33</f>
        <v>9.6761941906580091</v>
      </c>
      <c r="J19" s="177"/>
      <c r="K19" s="177"/>
    </row>
    <row r="20" spans="1:11" ht="14.25" customHeight="1" x14ac:dyDescent="0.35">
      <c r="A20" s="1" t="s">
        <v>214</v>
      </c>
      <c r="B20" s="60">
        <f>Inputs!$C$7*$B$4</f>
        <v>308.51279999999997</v>
      </c>
      <c r="C20" s="60">
        <f>Inputs!$C$7*$C$4</f>
        <v>171.39599999999999</v>
      </c>
      <c r="D20" s="42" t="s">
        <v>215</v>
      </c>
      <c r="F20" s="176"/>
      <c r="G20" s="14" t="str">
        <f t="shared" ref="G20:G28" si="0">G5</f>
        <v>Lithoautotroph (aerobic); gas transfer (energy)</v>
      </c>
      <c r="H20" s="26">
        <f>H5*B$33</f>
        <v>85.119669829999992</v>
      </c>
      <c r="I20" s="26">
        <f>I5*C$33</f>
        <v>29.028582571974027</v>
      </c>
      <c r="J20" s="178"/>
      <c r="K20" s="178"/>
    </row>
    <row r="21" spans="1:11" ht="14.25" customHeight="1" x14ac:dyDescent="0.35">
      <c r="A21" s="55" t="s">
        <v>216</v>
      </c>
      <c r="B21" s="60">
        <f>B20*B5</f>
        <v>277.66152</v>
      </c>
      <c r="C21" s="60">
        <f>C20*C5</f>
        <v>162.82619999999997</v>
      </c>
      <c r="D21" s="42" t="s">
        <v>217</v>
      </c>
      <c r="F21" s="1" t="s">
        <v>181</v>
      </c>
      <c r="G21" s="14" t="str">
        <f t="shared" si="0"/>
        <v>Lithoautotroph (anaerobic); gas transfer (energy)</v>
      </c>
      <c r="H21" s="26">
        <f>H6*B$28</f>
        <v>37.453224839999983</v>
      </c>
      <c r="I21" s="26">
        <f>I6*C$28</f>
        <v>311.86479842784001</v>
      </c>
      <c r="J21" s="178"/>
      <c r="K21" s="178"/>
    </row>
    <row r="22" spans="1:11" ht="14.25" customHeight="1" x14ac:dyDescent="0.35">
      <c r="A22" s="1" t="s">
        <v>218</v>
      </c>
      <c r="B22" s="26">
        <f>B21*$B$6</f>
        <v>166.596912</v>
      </c>
      <c r="C22" s="26">
        <f>C21*$C$6</f>
        <v>122.11964999999998</v>
      </c>
      <c r="D22" s="42" t="s">
        <v>219</v>
      </c>
      <c r="F22" s="1" t="str">
        <f>F7</f>
        <v>CH4_available</v>
      </c>
      <c r="G22" s="14" t="str">
        <f t="shared" si="0"/>
        <v>Methanotroph (aerobic); gas transfer (carbon)</v>
      </c>
      <c r="H22" s="26">
        <f>H7*B$34</f>
        <v>388.96524694800001</v>
      </c>
      <c r="I22" s="26">
        <f>I7*C$34</f>
        <v>1467.5902632895279</v>
      </c>
      <c r="J22" s="178"/>
      <c r="K22" s="178"/>
    </row>
    <row r="23" spans="1:11" ht="14.25" customHeight="1" x14ac:dyDescent="0.35">
      <c r="A23" s="1" t="s">
        <v>220</v>
      </c>
      <c r="B23" s="26">
        <f>B21*$B$7</f>
        <v>27.766152000000002</v>
      </c>
      <c r="C23" s="26">
        <f>C21*$C$7</f>
        <v>8.1413099999999989</v>
      </c>
      <c r="D23" s="42" t="s">
        <v>221</v>
      </c>
      <c r="F23" s="1" t="str">
        <f>F8</f>
        <v>VFAs</v>
      </c>
      <c r="G23" s="14" t="str">
        <f t="shared" si="0"/>
        <v>Heterotroph; OTR-limited</v>
      </c>
      <c r="H23" s="26">
        <f>H8*B$22</f>
        <v>166.596912</v>
      </c>
      <c r="I23" s="26">
        <f>I8*C$22</f>
        <v>122.11964999999998</v>
      </c>
      <c r="J23" s="178"/>
      <c r="K23" s="178"/>
    </row>
    <row r="24" spans="1:11" ht="14.25" customHeight="1" x14ac:dyDescent="0.35">
      <c r="A24" s="1" t="s">
        <v>222</v>
      </c>
      <c r="B24" s="26">
        <f>B21*$B$8</f>
        <v>83.298456000000002</v>
      </c>
      <c r="C24" s="26">
        <f>C21*$C$8</f>
        <v>32.565239999999996</v>
      </c>
      <c r="D24" s="42" t="s">
        <v>223</v>
      </c>
      <c r="F24" s="171" t="str">
        <f>F9</f>
        <v>Wet_Organics</v>
      </c>
      <c r="G24" s="14" t="str">
        <f t="shared" si="0"/>
        <v>Heterotroph (aerobic); OTR-limited</v>
      </c>
      <c r="H24" s="26">
        <f>H9*B$35</f>
        <v>25.709400000000002</v>
      </c>
      <c r="I24" s="26">
        <f>I9*C$35</f>
        <v>42.848999999999997</v>
      </c>
      <c r="J24" s="178"/>
      <c r="K24" s="178"/>
    </row>
    <row r="25" spans="1:11" ht="14.25" customHeight="1" x14ac:dyDescent="0.35">
      <c r="A25" s="1" t="s">
        <v>224</v>
      </c>
      <c r="B25" s="26">
        <f>Inputs!$C$11*B9</f>
        <v>163.79109600000004</v>
      </c>
      <c r="C25" s="26">
        <f>Inputs!$C$11*C9</f>
        <v>1474.1198640000002</v>
      </c>
      <c r="D25" s="42" t="s">
        <v>225</v>
      </c>
      <c r="F25" s="171"/>
      <c r="G25" s="14" t="str">
        <f t="shared" si="0"/>
        <v>Mixotroph (aerobic); OTR-limited</v>
      </c>
      <c r="H25" s="26">
        <f>H10*B$35</f>
        <v>8.5698000000000008</v>
      </c>
      <c r="I25" s="26">
        <f>I10*C$35</f>
        <v>128.547</v>
      </c>
      <c r="J25" s="178"/>
      <c r="K25" s="178"/>
    </row>
    <row r="26" spans="1:11" ht="14.25" customHeight="1" x14ac:dyDescent="0.35">
      <c r="A26" s="1" t="s">
        <v>226</v>
      </c>
      <c r="B26" s="26">
        <f>B25*$B$10</f>
        <v>121.20541104000003</v>
      </c>
      <c r="C26" s="26">
        <f>C25*$C$10</f>
        <v>1208.7782884800001</v>
      </c>
      <c r="D26" s="42" t="s">
        <v>227</v>
      </c>
      <c r="F26" s="1" t="str">
        <f>F11</f>
        <v>Cellulose</v>
      </c>
      <c r="G26" s="14" t="str">
        <f t="shared" si="0"/>
        <v>Enzymatic; hydrolysis-limited</v>
      </c>
      <c r="H26" s="26">
        <f>H11*Inputs!$C$8</f>
        <v>614.24306000000001</v>
      </c>
      <c r="I26" s="26">
        <f>I11*Inputs!$C$8</f>
        <v>614.24306000000001</v>
      </c>
      <c r="J26" s="178"/>
      <c r="K26" s="178"/>
    </row>
    <row r="27" spans="1:11" ht="14.25" customHeight="1" x14ac:dyDescent="0.35">
      <c r="A27" s="1" t="s">
        <v>228</v>
      </c>
      <c r="B27" s="26">
        <f>B26*$B$11</f>
        <v>54.768283560000008</v>
      </c>
      <c r="C27" s="26">
        <f>C26*$C$11</f>
        <v>724.05819479952004</v>
      </c>
      <c r="D27" s="42" t="s">
        <v>229</v>
      </c>
      <c r="F27" s="1" t="str">
        <f>F12</f>
        <v>Polyesters</v>
      </c>
      <c r="G27" s="14" t="str">
        <f t="shared" si="0"/>
        <v>Enzymatic; depolymerization-limited</v>
      </c>
      <c r="H27" s="26">
        <f>H12*Inputs!$C$9</f>
        <v>225.59205000000003</v>
      </c>
      <c r="I27" s="26">
        <f>I12*Inputs!$C$9</f>
        <v>225.59205000000003</v>
      </c>
      <c r="J27" s="178"/>
      <c r="K27" s="178"/>
    </row>
    <row r="28" spans="1:11" ht="14.25" customHeight="1" x14ac:dyDescent="0.35">
      <c r="A28" s="1" t="s">
        <v>230</v>
      </c>
      <c r="B28" s="26">
        <f>B26*$B$12</f>
        <v>37.453224839999983</v>
      </c>
      <c r="C28" s="26">
        <f>C26*$C$12</f>
        <v>311.86479842784001</v>
      </c>
      <c r="D28" s="42" t="s">
        <v>231</v>
      </c>
      <c r="F28" s="20" t="str">
        <f>F13</f>
        <v>Polyamides</v>
      </c>
      <c r="G28" s="22" t="str">
        <f t="shared" si="0"/>
        <v>Enzymatic; depolymerization-limited</v>
      </c>
      <c r="H28" s="34">
        <f>H13*Inputs!$C$10</f>
        <v>80.54025</v>
      </c>
      <c r="I28" s="34">
        <f>I13*Inputs!$C$10</f>
        <v>80.54025</v>
      </c>
      <c r="J28" s="179"/>
      <c r="K28" s="179"/>
    </row>
    <row r="29" spans="1:11" ht="14.25" customHeight="1" x14ac:dyDescent="0.35">
      <c r="A29" s="1" t="s">
        <v>232</v>
      </c>
      <c r="B29" s="26">
        <f>B26*$B$13</f>
        <v>28.983902640000046</v>
      </c>
      <c r="C29" s="26">
        <f>C26*$C$13</f>
        <v>172.85529525263999</v>
      </c>
      <c r="D29" s="42" t="s">
        <v>233</v>
      </c>
    </row>
    <row r="30" spans="1:11" ht="14.25" customHeight="1" x14ac:dyDescent="0.35">
      <c r="A30" s="1" t="s">
        <v>234</v>
      </c>
      <c r="B30" s="26">
        <f>Inputs!$C$6+B24+B29</f>
        <v>680.95735863999994</v>
      </c>
      <c r="C30" s="26">
        <f>Inputs!$C$6+C24+C29</f>
        <v>774.09553525263993</v>
      </c>
      <c r="D30" s="42" t="s">
        <v>235</v>
      </c>
    </row>
    <row r="31" spans="1:11" ht="14.25" customHeight="1" x14ac:dyDescent="0.35">
      <c r="A31" s="1" t="s">
        <v>236</v>
      </c>
      <c r="B31" s="26">
        <f>B30*B14</f>
        <v>340.47867931999997</v>
      </c>
      <c r="C31" s="26">
        <f>C30*C14</f>
        <v>735.3907584900079</v>
      </c>
      <c r="D31" s="27" t="s">
        <v>237</v>
      </c>
    </row>
    <row r="32" spans="1:11" ht="14.25" customHeight="1" x14ac:dyDescent="0.35">
      <c r="A32" s="1" t="s">
        <v>238</v>
      </c>
      <c r="B32" s="26">
        <f>B31*B15</f>
        <v>306.430811388</v>
      </c>
      <c r="C32" s="26">
        <f>C31*C15</f>
        <v>735.3907584900079</v>
      </c>
      <c r="D32" s="42" t="s">
        <v>239</v>
      </c>
    </row>
    <row r="33" spans="1:4" ht="14.25" customHeight="1" x14ac:dyDescent="0.35">
      <c r="A33" s="1" t="s">
        <v>240</v>
      </c>
      <c r="B33" s="26">
        <f>B30-B31</f>
        <v>340.47867931999997</v>
      </c>
      <c r="C33" s="26">
        <f>C30-C31</f>
        <v>38.704776762632036</v>
      </c>
      <c r="D33" s="42" t="s">
        <v>241</v>
      </c>
    </row>
    <row r="34" spans="1:4" ht="14.25" customHeight="1" x14ac:dyDescent="0.35">
      <c r="A34" s="1" t="s">
        <v>242</v>
      </c>
      <c r="B34" s="26">
        <f>B23+B27+B32</f>
        <v>388.96524694800001</v>
      </c>
      <c r="C34" s="26">
        <f>C23+C27+C32</f>
        <v>1467.5902632895279</v>
      </c>
      <c r="D34" s="42" t="s">
        <v>243</v>
      </c>
    </row>
    <row r="35" spans="1:4" ht="14.25" customHeight="1" x14ac:dyDescent="0.35">
      <c r="A35" s="1" t="s">
        <v>244</v>
      </c>
      <c r="B35" s="26">
        <f>Inputs!$C$7-B20</f>
        <v>34.279200000000003</v>
      </c>
      <c r="C35" s="26">
        <f>Inputs!$C$7-C20</f>
        <v>171.39599999999999</v>
      </c>
      <c r="D35" s="42" t="s">
        <v>245</v>
      </c>
    </row>
    <row r="36" spans="1:4" ht="14.25" customHeight="1" x14ac:dyDescent="0.35">
      <c r="A36" s="1" t="s">
        <v>246</v>
      </c>
      <c r="B36" s="26">
        <f>Inputs!$C$11-B25</f>
        <v>1474.1198640000002</v>
      </c>
      <c r="C36" s="26">
        <f>Inputs!$C$11-C25</f>
        <v>163.79109599999992</v>
      </c>
      <c r="D36" s="42" t="s">
        <v>247</v>
      </c>
    </row>
    <row r="37" spans="1:4" ht="14.25" customHeight="1" x14ac:dyDescent="0.35">
      <c r="A37" s="1" t="s">
        <v>248</v>
      </c>
      <c r="B37" s="26">
        <f>B20-B21</f>
        <v>30.851279999999974</v>
      </c>
      <c r="C37" s="26">
        <f>C20-C21</f>
        <v>8.569800000000015</v>
      </c>
      <c r="D37" s="27" t="s">
        <v>249</v>
      </c>
    </row>
    <row r="38" spans="1:4" ht="14.25" customHeight="1" x14ac:dyDescent="0.35">
      <c r="A38" s="1" t="s">
        <v>250</v>
      </c>
      <c r="B38" s="26">
        <f>B25-B26</f>
        <v>42.585684960000009</v>
      </c>
      <c r="C38" s="26">
        <f>C25-C26</f>
        <v>265.34157552000011</v>
      </c>
      <c r="D38" s="42" t="s">
        <v>251</v>
      </c>
    </row>
    <row r="39" spans="1:4" ht="14.25" customHeight="1" x14ac:dyDescent="0.35">
      <c r="A39" s="20" t="s">
        <v>252</v>
      </c>
      <c r="B39" s="34">
        <f>B31-B32</f>
        <v>34.047867931999974</v>
      </c>
      <c r="C39" s="34">
        <f>C31-C32</f>
        <v>0</v>
      </c>
      <c r="D39" s="61" t="s">
        <v>253</v>
      </c>
    </row>
  </sheetData>
  <mergeCells count="28">
    <mergeCell ref="J27:K27"/>
    <mergeCell ref="J28:K28"/>
    <mergeCell ref="J23:K23"/>
    <mergeCell ref="F24:F25"/>
    <mergeCell ref="J24:K24"/>
    <mergeCell ref="J25:K25"/>
    <mergeCell ref="J26:K26"/>
    <mergeCell ref="F19:F20"/>
    <mergeCell ref="J19:K19"/>
    <mergeCell ref="J20:K20"/>
    <mergeCell ref="J21:K21"/>
    <mergeCell ref="J22:K22"/>
    <mergeCell ref="F16:K16"/>
    <mergeCell ref="A17:D17"/>
    <mergeCell ref="F17:I17"/>
    <mergeCell ref="A18:D18"/>
    <mergeCell ref="J18:K18"/>
    <mergeCell ref="F4:F5"/>
    <mergeCell ref="J4:J5"/>
    <mergeCell ref="K4:K5"/>
    <mergeCell ref="F9:F10"/>
    <mergeCell ref="J9:J10"/>
    <mergeCell ref="K9:K10"/>
    <mergeCell ref="A1:D1"/>
    <mergeCell ref="F1:K1"/>
    <mergeCell ref="A2:D2"/>
    <mergeCell ref="F2:K2"/>
    <mergeCell ref="J3:K3"/>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4"/>
  <sheetViews>
    <sheetView showGridLines="0" zoomScaleNormal="100" workbookViewId="0">
      <selection activeCell="A30" sqref="A30"/>
    </sheetView>
  </sheetViews>
  <sheetFormatPr defaultColWidth="8.81640625" defaultRowHeight="14.5" x14ac:dyDescent="0.35"/>
  <cols>
    <col min="1" max="1" width="35.1796875" style="9" customWidth="1"/>
    <col min="2" max="2" width="40.54296875" style="9" customWidth="1"/>
    <col min="3" max="3" width="16.1796875" style="9" customWidth="1"/>
    <col min="4" max="4" width="19.453125" style="9" customWidth="1"/>
    <col min="5" max="5" width="26.81640625" style="9" customWidth="1"/>
    <col min="6" max="6" width="13.1796875" style="9" customWidth="1"/>
    <col min="7" max="7" width="16.1796875" style="9" customWidth="1"/>
    <col min="8" max="8" width="19.453125" style="9" customWidth="1"/>
    <col min="9" max="9" width="26.81640625" style="9" customWidth="1"/>
    <col min="10" max="10" width="13" style="9" customWidth="1"/>
    <col min="11" max="11" width="63.81640625" style="9" customWidth="1"/>
    <col min="12" max="16384" width="8.81640625" style="9"/>
  </cols>
  <sheetData>
    <row r="1" spans="1:11" ht="15" customHeight="1" x14ac:dyDescent="0.35">
      <c r="A1" s="181" t="s">
        <v>254</v>
      </c>
      <c r="B1" s="181"/>
      <c r="C1" s="181"/>
      <c r="D1" s="181"/>
      <c r="E1" s="181"/>
      <c r="F1" s="181"/>
      <c r="G1" s="181"/>
      <c r="H1" s="181"/>
      <c r="I1" s="181"/>
      <c r="J1" s="181"/>
      <c r="K1" s="181"/>
    </row>
    <row r="2" spans="1:11" ht="14.25" customHeight="1" x14ac:dyDescent="0.35">
      <c r="A2" s="182" t="s">
        <v>255</v>
      </c>
      <c r="B2" s="182"/>
      <c r="C2" s="180" t="s">
        <v>78</v>
      </c>
      <c r="D2" s="180"/>
      <c r="E2" s="180"/>
      <c r="F2" s="180"/>
      <c r="G2" s="180" t="s">
        <v>79</v>
      </c>
      <c r="H2" s="180"/>
      <c r="I2" s="180"/>
      <c r="J2" s="180"/>
      <c r="K2" s="64"/>
    </row>
    <row r="3" spans="1:11" ht="14.25" customHeight="1" x14ac:dyDescent="0.35">
      <c r="A3" s="38" t="s">
        <v>256</v>
      </c>
      <c r="B3" s="65" t="s">
        <v>257</v>
      </c>
      <c r="C3" s="66" t="s">
        <v>258</v>
      </c>
      <c r="D3" s="11" t="s">
        <v>259</v>
      </c>
      <c r="E3" s="11" t="s">
        <v>260</v>
      </c>
      <c r="F3" s="12" t="s">
        <v>261</v>
      </c>
      <c r="G3" s="67" t="s">
        <v>258</v>
      </c>
      <c r="H3" s="11" t="s">
        <v>259</v>
      </c>
      <c r="I3" s="11" t="s">
        <v>260</v>
      </c>
      <c r="J3" s="12" t="s">
        <v>262</v>
      </c>
      <c r="K3" s="68" t="s">
        <v>263</v>
      </c>
    </row>
    <row r="4" spans="1:11" ht="14.25" customHeight="1" x14ac:dyDescent="0.35">
      <c r="A4" s="1" t="s">
        <v>64</v>
      </c>
      <c r="B4" s="69" t="s">
        <v>264</v>
      </c>
      <c r="C4" s="70">
        <f>F4*Inputs!$C$3/1000</f>
        <v>5.475E-2</v>
      </c>
      <c r="D4" s="13">
        <f>(Parameters!$C$16*Parameters!$C$17/Constants!$B$4)</f>
        <v>0.3</v>
      </c>
      <c r="E4" s="13">
        <f>(Parameters!$C$30/Constants!$B$8)</f>
        <v>1.09375</v>
      </c>
      <c r="F4" s="71">
        <f>((Parameters!$C$16*Parameters!$C$17/Constants!$B$4)*Constants!$B$8)</f>
        <v>0.15</v>
      </c>
      <c r="G4" s="72">
        <f>J4*Inputs!$C$3/1000</f>
        <v>0.38324999999999998</v>
      </c>
      <c r="H4" s="13">
        <f>(Parameters!$D$16*Parameters!$D$17/Constants!$B$4)</f>
        <v>2.1</v>
      </c>
      <c r="I4" s="13">
        <f>(Parameters!$D$30/Constants!$B$8)</f>
        <v>1.2686567164179103</v>
      </c>
      <c r="J4" s="71">
        <f>((Parameters!$D$16*Parameters!$D$17/Constants!$B$4)*Constants!$B$8)</f>
        <v>1.05</v>
      </c>
      <c r="K4" s="73" t="s">
        <v>265</v>
      </c>
    </row>
    <row r="5" spans="1:11" ht="14.25" customHeight="1" x14ac:dyDescent="0.35">
      <c r="A5" s="1" t="s">
        <v>64</v>
      </c>
      <c r="B5" s="69" t="s">
        <v>266</v>
      </c>
      <c r="C5" s="70">
        <f>F5*Inputs!$C$3/1000</f>
        <v>9.6904183655269094E-2</v>
      </c>
      <c r="D5" s="13">
        <f>((MIN((Parameters!$C$4*((Constants!$B$15*Constants!$B$3/Constants!$B$4)*Parameters!$C$10)*Constants!$B$5*Parameters!$C$5),(MIN((Parameters!$C$4*((Constants!$B$12*Constants!$B$3/Constants!$B$4)*Parameters!$C$8)*Constants!$B$5*Parameters!$C$5),2*(Parameters!$C$4*((Constants!$B$11*Constants!$B$3/Constants!$B$4)*Parameters!$C$9)*Constants!$B$5*Parameters!$C$5))/Parameters!$C$11))*Constants!$B$7)*Parameters!$C$31/Constants!$B$8)</f>
        <v>0.32180716863518172</v>
      </c>
      <c r="E5" s="13">
        <f>(Parameters!$C$31/Constants!$B$8)</f>
        <v>1.2121212121212122</v>
      </c>
      <c r="F5" s="71">
        <f>(MIN((Parameters!$C$4*((Constants!$B$15*Constants!$B$3/Constants!$B$4)*Parameters!$C$10)*Constants!$B$5*Parameters!$C$5),(MIN((Parameters!$C$4*((Constants!$B$12*Constants!$B$3/Constants!$B$4)*Parameters!$C$8)*Constants!$B$5*Parameters!$C$5),2*(Parameters!$C$4*((Constants!$B$11*Constants!$B$3/Constants!$B$4)*Parameters!$C$9)*Constants!$B$5*Parameters!$C$5))/Parameters!$C$11))*Constants!$B$7)</f>
        <v>0.26549091412402492</v>
      </c>
      <c r="G5" s="72">
        <f>J5*Inputs!$C$3/1000</f>
        <v>1.1662396258503118</v>
      </c>
      <c r="H5" s="13">
        <f>((MIN((Parameters!$D$4*((Constants!$B$15*Constants!$B$3/Constants!$B$4)*Parameters!$D$10)*Constants!$B$5*Parameters!$D$5),(MIN((Parameters!$D$4*((Constants!$B$12*Constants!$B$3/Constants!$B$4)*Parameters!$D$8)*Constants!$B$5*Parameters!$D$5),2*(Parameters!$D$4*((Constants!$B$11*Constants!$B$3/Constants!$B$4)*Parameters!$D$9)*Constants!$B$5*Parameters!$D$5))/Parameters!$D$11))*Constants!$B$7)*Parameters!$D$31/Constants!$B$8)</f>
        <v>4.0535828336649562</v>
      </c>
      <c r="I5" s="13">
        <f>(Parameters!$D$31/Constants!$B$8)</f>
        <v>1.2686567164179103</v>
      </c>
      <c r="J5" s="71">
        <f>(MIN((Parameters!$D$4*((Constants!$B$15*Constants!$B$3/Constants!$B$4)*Parameters!$D$10)*Constants!$B$5*Parameters!$D$5),(MIN((Parameters!$D$4*((Constants!$B$12*Constants!$B$3/Constants!$B$4)*Parameters!$D$8)*Constants!$B$5*Parameters!$D$5),2*(Parameters!$D$4*((Constants!$B$11*Constants!$B$3/Constants!$B$4)*Parameters!$D$9)*Constants!$B$5*Parameters!$D$5))/Parameters!$D$11))*Constants!$B$7)</f>
        <v>3.195177057124142</v>
      </c>
      <c r="K5" s="73" t="s">
        <v>267</v>
      </c>
    </row>
    <row r="6" spans="1:11" ht="14.25" customHeight="1" x14ac:dyDescent="0.35">
      <c r="A6" s="1" t="s">
        <v>268</v>
      </c>
      <c r="B6" s="69" t="s">
        <v>269</v>
      </c>
      <c r="C6" s="70">
        <f>F6*Inputs!$C$3/1000</f>
        <v>0.57741820949671274</v>
      </c>
      <c r="D6" s="13">
        <f>((Parameters!$C$4*((Constants!$B$14*Constants!$B$3/Constants!$B$4)*Parameters!$C$12)*Constants!$B$5*Parameters!$C$5)*Constants!$B$7)*Parameters!$C$32/Constants!$B$8</f>
        <v>0.44772670676922671</v>
      </c>
      <c r="E6" s="13">
        <f>(Parameters!$C$32/Constants!$B$8)</f>
        <v>0.28301886792452829</v>
      </c>
      <c r="F6" s="71">
        <f>(Parameters!$C$4*((Constants!$B$14*Constants!$B$3/Constants!$B$4)*Parameters!$C$12)*Constants!$B$5*Parameters!$C$5)*Constants!$B$7</f>
        <v>1.5819676972512677</v>
      </c>
      <c r="G6" s="72">
        <f>J6*Inputs!$C$3/1000</f>
        <v>7.6989094599561705</v>
      </c>
      <c r="H6" s="13">
        <f>((Parameters!$D$4*((Constants!$B$14*Constants!$B$3/Constants!$B$4)*Parameters!$D$12)*Constants!$B$5*Parameters!$D$5)*Constants!$B$7)*Parameters!$D$32/Constants!$B$8</f>
        <v>7.8121861592655195</v>
      </c>
      <c r="I6" s="13">
        <f>(Parameters!$D$32/Constants!$B$8)</f>
        <v>0.37037037037037035</v>
      </c>
      <c r="J6" s="71">
        <f>(Parameters!$D$4*((Constants!$B$14*Constants!$B$3/Constants!$B$4)*Parameters!$D$12)*Constants!$B$5*Parameters!$D$5)*Constants!$B$7</f>
        <v>21.092902630016905</v>
      </c>
      <c r="K6" s="73" t="s">
        <v>270</v>
      </c>
    </row>
    <row r="7" spans="1:11" ht="14.25" customHeight="1" x14ac:dyDescent="0.35">
      <c r="A7" s="1" t="s">
        <v>271</v>
      </c>
      <c r="B7" s="69" t="s">
        <v>272</v>
      </c>
      <c r="C7" s="70">
        <f>F7*Inputs!$C$3/1000</f>
        <v>0.53574132812498698</v>
      </c>
      <c r="D7" s="13">
        <f>((MIN((Parameters!$C$4*((Constants!$B$13*Constants!$B$3/Constants!$B$4)*Parameters!$C$13)*Constants!$B$5*Parameters!$C$5),(Parameters!$C$4*((Constants!$B$11*Constants!$B$3/Constants!$B$4)*Parameters!$C$7)*Constants!$B$5*Parameters!$C$5)/Parameters!$C$14)*Constants!$B$7)*Parameters!$C$33/Constants!$B$8)</f>
        <v>1.32341221858856</v>
      </c>
      <c r="E7" s="13">
        <f>(Parameters!$C$33/Constants!$B$8)</f>
        <v>0.90163934426229519</v>
      </c>
      <c r="F7" s="71">
        <f>(MIN((Parameters!$C$4*((Constants!$B$13*Constants!$B$3/Constants!$B$4)*Parameters!$C$13)*Constants!$B$5*Parameters!$C$5),(Parameters!$C$4*((Constants!$B$11*Constants!$B$3/Constants!$B$4)*Parameters!$C$7)*Constants!$B$5*Parameters!$C$5)/Parameters!$C$14)*Constants!$B$7)</f>
        <v>1.4677844606164028</v>
      </c>
      <c r="G7" s="72">
        <f>J7*Inputs!$C$3/1000</f>
        <v>2.8572870833332642</v>
      </c>
      <c r="H7" s="13">
        <f>((MIN((Parameters!$D$4*((Constants!$B$13*Constants!$B$3/Constants!$B$4)*Parameters!$D$13)*Constants!$B$5*Parameters!$D$5),(Parameters!$D$4*((Constants!$B$11*Constants!$B$3/Constants!$B$4)*Parameters!$D$7)*Constants!$B$5*Parameters!$D$5)/Parameters!$D$14)*Constants!$B$7)*Parameters!$D$33/Constants!$B$8)</f>
        <v>8.0766975610638045</v>
      </c>
      <c r="I7" s="13">
        <f>(Parameters!$D$33/Constants!$B$8)</f>
        <v>1.0317460317460319</v>
      </c>
      <c r="J7" s="71">
        <f>(MIN((Parameters!$D$4*((Constants!$B$13*Constants!$B$3/Constants!$B$4)*Parameters!$D$13)*Constants!$B$5*Parameters!$D$5),(Parameters!$D$4*((Constants!$B$11*Constants!$B$3/Constants!$B$4)*Parameters!$D$7)*Constants!$B$5*Parameters!$D$5)/Parameters!$D$14)*Constants!$B$7)</f>
        <v>7.8281837899541484</v>
      </c>
      <c r="K7" s="73" t="s">
        <v>273</v>
      </c>
    </row>
    <row r="8" spans="1:11" ht="14.25" customHeight="1" x14ac:dyDescent="0.35">
      <c r="A8" s="1" t="s">
        <v>189</v>
      </c>
      <c r="B8" s="69" t="s">
        <v>274</v>
      </c>
      <c r="C8" s="70">
        <f>F8*Inputs!$C$3/1000</f>
        <v>1.6072239843749609</v>
      </c>
      <c r="D8" s="13">
        <f>((((Parameters!$C$4*((Constants!$B$11*Constants!$B$3/Constants!$B$4)*Parameters!$C$7)*Constants!$B$5*Parameters!$C$6)/Parameters!$C$15)*Constants!$B$7)*Parameters!$C$34/Constants!$B$8)</f>
        <v>3.9702366557656803</v>
      </c>
      <c r="E8" s="13">
        <f>(Parameters!$C$34/Constants!$B$8)</f>
        <v>0.90163934426229519</v>
      </c>
      <c r="F8" s="71">
        <f>(((Parameters!$C$4*((Constants!$B$11*Constants!$B$3/Constants!$B$4)*Parameters!$C$7)*Constants!$B$5*Parameters!$C$6)/Parameters!$C$15)*Constants!$B$7)</f>
        <v>4.4033533818492083</v>
      </c>
      <c r="G8" s="72">
        <f>J8*Inputs!$C$3/1000</f>
        <v>7.1432177083331609</v>
      </c>
      <c r="H8" s="13">
        <f>((((Parameters!$D$4*((Constants!$B$11*Constants!$B$3/Constants!$B$4)*Parameters!$D$7)*Constants!$B$5*Parameters!$D$6)/Parameters!$D$15)*Constants!$B$7)*Parameters!$D$34/Constants!$B$8)</f>
        <v>20.191743902659514</v>
      </c>
      <c r="I8" s="13">
        <f>(Parameters!$D$34/Constants!$B$8)</f>
        <v>1.0317460317460319</v>
      </c>
      <c r="J8" s="71">
        <f>(((Parameters!$D$4*((Constants!$B$11*Constants!$B$3/Constants!$B$4)*Parameters!$D$7)*Constants!$B$5*Parameters!$D$6)/Parameters!$D$15)*Constants!$B$7)</f>
        <v>19.570459474885372</v>
      </c>
      <c r="K8" s="73" t="s">
        <v>275</v>
      </c>
    </row>
    <row r="9" spans="1:11" ht="14.25" customHeight="1" x14ac:dyDescent="0.35">
      <c r="A9" s="1" t="s">
        <v>66</v>
      </c>
      <c r="B9" s="69" t="s">
        <v>274</v>
      </c>
      <c r="C9" s="70">
        <f>F9*Inputs!$C$3/1000</f>
        <v>1.6072239843749609</v>
      </c>
      <c r="D9" s="13">
        <f>((((Parameters!$C$4*((Constants!$B$11*Constants!$B$3/Constants!$B$4)*Parameters!$C$7)*Constants!$B$5*Parameters!$C$6)/Parameters!$C$15)*Constants!$B$7)*Parameters!$C$34/Constants!$B$8)</f>
        <v>3.9702366557656803</v>
      </c>
      <c r="E9" s="13">
        <f>(Parameters!$C$34/Constants!$B$8)</f>
        <v>0.90163934426229519</v>
      </c>
      <c r="F9" s="71">
        <f>(((Parameters!$C$4*((Constants!$B$11*Constants!$B$3/Constants!$B$4)*Parameters!$C$7)*Constants!$B$5*Parameters!$C$6)/Parameters!$C$15)*Constants!$B$7)</f>
        <v>4.4033533818492083</v>
      </c>
      <c r="G9" s="72">
        <f>J9*Inputs!$C$3/1000</f>
        <v>7.1432177083331609</v>
      </c>
      <c r="H9" s="13">
        <f>((((Parameters!$D$4*((Constants!$B$11*Constants!$B$3/Constants!$B$4)*Parameters!$D$7)*Constants!$B$5*Parameters!$D$6)/Parameters!$D$15)*Constants!$B$7)*Parameters!$D$34/Constants!$B$8)</f>
        <v>20.191743902659514</v>
      </c>
      <c r="I9" s="13">
        <f>(Parameters!$D$34/Constants!$B$8)</f>
        <v>1.0317460317460319</v>
      </c>
      <c r="J9" s="71">
        <f>(((Parameters!$D$4*((Constants!$B$11*Constants!$B$3/Constants!$B$4)*Parameters!$D$7)*Constants!$B$5*Parameters!$D$6)/Parameters!$D$15)*Constants!$B$7)</f>
        <v>19.570459474885372</v>
      </c>
      <c r="K9" s="73" t="s">
        <v>276</v>
      </c>
    </row>
    <row r="10" spans="1:11" ht="14.25" customHeight="1" x14ac:dyDescent="0.35">
      <c r="A10" s="1" t="s">
        <v>66</v>
      </c>
      <c r="B10" s="69" t="s">
        <v>277</v>
      </c>
      <c r="C10" s="70">
        <f>F10*Inputs!$C$3/1000</f>
        <v>1.6072239843749609</v>
      </c>
      <c r="D10" s="13">
        <f>(((((Parameters!$C$4*((Constants!$B$11*Constants!$B$3/Constants!$B$4)*Parameters!$C$7)*Constants!$B$5*Parameters!$C$6)/Parameters!$C$15)*Constants!$B$7)*Parameters!$C$34/Constants!$B$8)*(1+Parameters!$C$37))</f>
        <v>4.5657721541305323</v>
      </c>
      <c r="E10" s="13">
        <f>((Parameters!$C$34/Constants!$B$8)*(1+Parameters!$C$37))</f>
        <v>1.0368852459016393</v>
      </c>
      <c r="F10" s="71">
        <f>(((Parameters!$C$4*((Constants!$B$11*Constants!$B$3/Constants!$B$4)*Parameters!$C$7)*Constants!$B$5*Parameters!$C$6)/Parameters!$C$15)*Constants!$B$7)</f>
        <v>4.4033533818492083</v>
      </c>
      <c r="G10" s="72">
        <f>J10*Inputs!$C$3/1000</f>
        <v>7.1432177083331609</v>
      </c>
      <c r="H10" s="13">
        <f>(((((Parameters!$D$4*((Constants!$B$11*Constants!$B$3/Constants!$B$4)*Parameters!$D$7)*Constants!$B$5*Parameters!$D$6)/Parameters!$D$15)*Constants!$B$7)*Parameters!$D$34/Constants!$B$8)*(1+Parameters!$D$37))</f>
        <v>27.258854268590344</v>
      </c>
      <c r="I10" s="13">
        <f>((Parameters!$D$34/Constants!$B$8)*(1+Parameters!$D$37))</f>
        <v>1.392857142857143</v>
      </c>
      <c r="J10" s="71">
        <f>(((Parameters!$D$4*((Constants!$B$11*Constants!$B$3/Constants!$B$4)*Parameters!$D$7)*Constants!$B$5*Parameters!$D$6)/Parameters!$D$15)*Constants!$B$7)</f>
        <v>19.570459474885372</v>
      </c>
      <c r="K10" s="73" t="s">
        <v>278</v>
      </c>
    </row>
    <row r="11" spans="1:11" ht="14.25" customHeight="1" x14ac:dyDescent="0.35">
      <c r="A11" s="1" t="s">
        <v>66</v>
      </c>
      <c r="B11" s="69" t="s">
        <v>279</v>
      </c>
      <c r="C11" s="70">
        <f>F11*Inputs!$C$3/1000</f>
        <v>0.1825</v>
      </c>
      <c r="D11" s="13">
        <v>0</v>
      </c>
      <c r="E11" s="13">
        <v>0</v>
      </c>
      <c r="F11" s="71">
        <f>Parameters!C18/Parameters!C19</f>
        <v>0.5</v>
      </c>
      <c r="G11" s="72">
        <f>J11*Inputs!$C$3/1000</f>
        <v>0.73</v>
      </c>
      <c r="H11" s="13">
        <v>0</v>
      </c>
      <c r="I11" s="13">
        <v>0</v>
      </c>
      <c r="J11" s="71">
        <f>Parameters!D18/Parameters!D19</f>
        <v>2</v>
      </c>
      <c r="K11" s="73" t="s">
        <v>280</v>
      </c>
    </row>
    <row r="12" spans="1:11" ht="14.25" customHeight="1" x14ac:dyDescent="0.35">
      <c r="A12" s="1" t="s">
        <v>68</v>
      </c>
      <c r="B12" s="69" t="s">
        <v>281</v>
      </c>
      <c r="C12" s="70">
        <f>F12*Inputs!$C$3/1000</f>
        <v>0.40150000000000008</v>
      </c>
      <c r="D12" s="13">
        <f>((Parameters!$C$21*Parameters!$C$22*Parameters!$C$27)*MAX(0,1-Parameters!$C$29*MAX(0,(Parameters!$C$21/(Constants!$B$9*1000))-Parameters!$C$28))*Parameters!$C$35/Constants!$B$8)</f>
        <v>0.91666666666666674</v>
      </c>
      <c r="E12" s="13">
        <f>(Parameters!$C$35/Constants!$B$8)</f>
        <v>0.83333333333333337</v>
      </c>
      <c r="F12" s="71">
        <f>(Parameters!$C$21*Parameters!$C$22*Parameters!$C$27*MAX(0,1-Parameters!$C$29*MAX(0,(Parameters!$C$21/(Constants!$B$9*1000))-Parameters!$C$28)))</f>
        <v>1.1000000000000001</v>
      </c>
      <c r="G12" s="72">
        <f>J12*Inputs!$C$3/1000</f>
        <v>2.9213810810810812</v>
      </c>
      <c r="H12" s="13">
        <f>((Parameters!$D$21*Parameters!$D$22*Parameters!$D$27)*MAX(0,1-Parameters!$D$29*MAX(0,(Parameters!$D$21/(Constants!$B$9*1000))-Parameters!$D$28))*Parameters!$D$35/Constants!$B$8)</f>
        <v>7.7455972101133375</v>
      </c>
      <c r="I12" s="13">
        <f>(Parameters!$D$35/Constants!$B$8)</f>
        <v>0.96774193548387089</v>
      </c>
      <c r="J12" s="71">
        <f>(Parameters!$D$21*Parameters!$D$22*Parameters!$D$27*MAX(0,1-Parameters!$D$29*MAX(0,(Parameters!$D$21/(Constants!$B$9*1000))-Parameters!$D$28)))</f>
        <v>8.0037837837837831</v>
      </c>
      <c r="K12" s="74" t="s">
        <v>282</v>
      </c>
    </row>
    <row r="13" spans="1:11" ht="14.25" customHeight="1" x14ac:dyDescent="0.35">
      <c r="A13" s="1" t="s">
        <v>70</v>
      </c>
      <c r="B13" s="69" t="s">
        <v>283</v>
      </c>
      <c r="C13" s="70">
        <f>F13*Inputs!$C$3/1000</f>
        <v>0.16972499999999999</v>
      </c>
      <c r="D13" s="13">
        <f>((Parameters!$C$23*Parameters!$C$24*Parameters!$C$27)*MAX(0,1-Parameters!$C$29*MAX(0,(Parameters!$C$23/(Constants!$B$10*1000))-Parameters!$C$28))*Parameters!$C$35/Constants!$B$8)</f>
        <v>0.38750000000000001</v>
      </c>
      <c r="E13" s="13">
        <f>(Parameters!$C$35/Constants!$B$8)</f>
        <v>0.83333333333333337</v>
      </c>
      <c r="F13" s="71">
        <f>(Parameters!$C$23*Parameters!$C$24*Parameters!$C$27*MAX(0,1-Parameters!$C$29*MAX(0,(Parameters!$C$23/(Constants!$B$10*1000))-Parameters!$C$28)))</f>
        <v>0.46499999999999997</v>
      </c>
      <c r="G13" s="72">
        <f>J13*Inputs!$C$3/1000</f>
        <v>2.7393104000000004</v>
      </c>
      <c r="H13" s="13">
        <f>((Parameters!$D$23*Parameters!$D$24*Parameters!$D$27)*MAX(0,1-Parameters!$D$29*MAX(0,(Parameters!$D$23/(Constants!$B$10*1000))-Parameters!$D$28))*Parameters!$D$35/Constants!$B$8)</f>
        <v>7.2628645161290324</v>
      </c>
      <c r="I13" s="13">
        <f>(Parameters!$D$35/Constants!$B$8)</f>
        <v>0.96774193548387089</v>
      </c>
      <c r="J13" s="71">
        <f>(Parameters!$D$23*Parameters!$D$24*Parameters!$D$27*MAX(0,1-Parameters!$D$29*MAX(0,(Parameters!$D$23/(Constants!$B$10*1000))-Parameters!$D$28)))</f>
        <v>7.5049600000000005</v>
      </c>
      <c r="K13" s="74" t="s">
        <v>284</v>
      </c>
    </row>
    <row r="14" spans="1:11" ht="14.25" customHeight="1" x14ac:dyDescent="0.35">
      <c r="A14" s="1" t="s">
        <v>72</v>
      </c>
      <c r="B14" s="69" t="s">
        <v>283</v>
      </c>
      <c r="C14" s="70">
        <f>F14*Inputs!$C$3/1000</f>
        <v>3.3945000000000003E-2</v>
      </c>
      <c r="D14" s="13">
        <f>((Parameters!$C$23*Parameters!$C$25*Parameters!$C$27)*MAX(0,1-Parameters!$C$29*MAX(0,(Parameters!$C$23/(Constants!$B$10*1000))-Parameters!$C$28))*Parameters!$C$35/Constants!$B$8)</f>
        <v>7.7499999999999999E-2</v>
      </c>
      <c r="E14" s="13">
        <f>(Parameters!$C$35/Constants!$B$8)</f>
        <v>0.83333333333333337</v>
      </c>
      <c r="F14" s="71">
        <f>(Parameters!$C$23*Parameters!$C$25*Parameters!$C$27*MAX(0,1-Parameters!$C$29*MAX(0,(Parameters!$C$23/(Constants!$B$10*1000))-Parameters!$C$28)))</f>
        <v>9.2999999999999999E-2</v>
      </c>
      <c r="G14" s="72">
        <f>J14*Inputs!$C$3/1000</f>
        <v>0.54786208000000003</v>
      </c>
      <c r="H14" s="13">
        <f>((Parameters!$D$23*Parameters!$D$25*Parameters!$D$27)*MAX(0,1-Parameters!$D$29*MAX(0,(Parameters!$D$23/(Constants!$B$10*1000))-Parameters!$D$28))*Parameters!$D$35/Constants!$B$8)</f>
        <v>1.4525729032258063</v>
      </c>
      <c r="I14" s="13">
        <f>(Parameters!$D$35/Constants!$B$8)</f>
        <v>0.96774193548387089</v>
      </c>
      <c r="J14" s="71">
        <f>(Parameters!$D$23*Parameters!$D$25*Parameters!$D$27*MAX(0,1-Parameters!$D$29*MAX(0,(Parameters!$D$23/(Constants!$B$10*1000))-Parameters!$D$28)))</f>
        <v>1.5009920000000001</v>
      </c>
      <c r="K14" s="74" t="s">
        <v>284</v>
      </c>
    </row>
    <row r="16" spans="1:11" ht="15" customHeight="1" x14ac:dyDescent="0.35">
      <c r="A16" s="183" t="s">
        <v>285</v>
      </c>
      <c r="B16" s="183"/>
      <c r="C16" s="183"/>
      <c r="D16" s="183"/>
      <c r="E16" s="183"/>
      <c r="F16" s="183"/>
      <c r="G16" s="183"/>
      <c r="H16" s="183"/>
    </row>
    <row r="17" spans="1:8" ht="14.25" customHeight="1" x14ac:dyDescent="0.35">
      <c r="A17" s="75" t="s">
        <v>255</v>
      </c>
      <c r="B17" s="180" t="s">
        <v>78</v>
      </c>
      <c r="C17" s="180"/>
      <c r="D17" s="180"/>
      <c r="E17" s="180" t="s">
        <v>79</v>
      </c>
      <c r="F17" s="180"/>
      <c r="G17" s="180"/>
      <c r="H17" s="76"/>
    </row>
    <row r="18" spans="1:8" ht="14.25" customHeight="1" x14ac:dyDescent="0.35">
      <c r="A18" s="77" t="s">
        <v>286</v>
      </c>
      <c r="B18" s="78" t="s">
        <v>287</v>
      </c>
      <c r="C18" s="79" t="s">
        <v>288</v>
      </c>
      <c r="D18" s="80" t="s">
        <v>289</v>
      </c>
      <c r="E18" s="78" t="s">
        <v>287</v>
      </c>
      <c r="F18" s="79" t="s">
        <v>288</v>
      </c>
      <c r="G18" s="80" t="s">
        <v>289</v>
      </c>
      <c r="H18" s="68" t="s">
        <v>63</v>
      </c>
    </row>
    <row r="19" spans="1:8" ht="14.25" customHeight="1" x14ac:dyDescent="0.35">
      <c r="A19" s="81" t="s">
        <v>290</v>
      </c>
      <c r="B19" s="82">
        <f>Routing!H19</f>
        <v>255.35900948999998</v>
      </c>
      <c r="C19" s="16">
        <f>IFERROR(B19/$C$4,NA())</f>
        <v>4664.0914975342457</v>
      </c>
      <c r="D19" s="83">
        <f>B19*Parameters!$C$30/Constants!$B$8</f>
        <v>279.29891662968748</v>
      </c>
      <c r="E19" s="82">
        <f>Routing!I19</f>
        <v>9.6761941906580091</v>
      </c>
      <c r="F19" s="16">
        <f>IFERROR(E19/$G$4,NA())</f>
        <v>25.247734352662778</v>
      </c>
      <c r="G19" s="83">
        <f>E19*Parameters!$D$30/Constants!$B$8</f>
        <v>12.27576874934225</v>
      </c>
      <c r="H19" s="73"/>
    </row>
    <row r="20" spans="1:8" ht="14.25" customHeight="1" x14ac:dyDescent="0.35">
      <c r="A20" s="81" t="s">
        <v>291</v>
      </c>
      <c r="B20" s="82">
        <f>Routing!H20</f>
        <v>85.119669829999992</v>
      </c>
      <c r="C20" s="16">
        <f>IFERROR(B20/$C$5,NA())</f>
        <v>878.39004075209164</v>
      </c>
      <c r="D20" s="83">
        <f>B20*Parameters!$C$31/Constants!$B$8</f>
        <v>103.17535736969697</v>
      </c>
      <c r="E20" s="82">
        <f>Routing!I20</f>
        <v>29.028582571974027</v>
      </c>
      <c r="F20" s="16">
        <f>IFERROR(E20/$G$5,NA())</f>
        <v>24.890753090994593</v>
      </c>
      <c r="G20" s="83">
        <f>E20*Parameters!$D$31/Constants!$B$8</f>
        <v>36.827306248026751</v>
      </c>
      <c r="H20" s="73"/>
    </row>
    <row r="21" spans="1:8" ht="14.25" customHeight="1" x14ac:dyDescent="0.35">
      <c r="A21" s="81" t="s">
        <v>292</v>
      </c>
      <c r="B21" s="82">
        <f>Routing!H21</f>
        <v>37.453224839999983</v>
      </c>
      <c r="C21" s="16">
        <f>IFERROR(B21/$C$6,NA())</f>
        <v>64.863255477593668</v>
      </c>
      <c r="D21" s="83">
        <f>B21*Parameters!$C$32/Constants!$B$8</f>
        <v>10.599969294339617</v>
      </c>
      <c r="E21" s="82">
        <f>Routing!I21</f>
        <v>311.86479842784001</v>
      </c>
      <c r="F21" s="16">
        <f>IFERROR(E21/$G$6,NA())</f>
        <v>40.507658915840196</v>
      </c>
      <c r="G21" s="83">
        <f>E21*Parameters!$D$32/Constants!$B$8</f>
        <v>115.50548089919999</v>
      </c>
      <c r="H21" s="73"/>
    </row>
    <row r="22" spans="1:8" ht="14.25" customHeight="1" x14ac:dyDescent="0.35">
      <c r="A22" s="81" t="s">
        <v>293</v>
      </c>
      <c r="B22" s="82">
        <f>Routing!H22</f>
        <v>388.96524694800001</v>
      </c>
      <c r="C22" s="16">
        <f>IFERROR(B22/$C$7,NA())</f>
        <v>726.03181148880026</v>
      </c>
      <c r="D22" s="83">
        <f>B22*Parameters!$C$33/Constants!$B$8</f>
        <v>350.70637019901648</v>
      </c>
      <c r="E22" s="82">
        <f>Routing!I22</f>
        <v>1467.5902632895279</v>
      </c>
      <c r="F22" s="16">
        <f>IFERROR(E22/$G$7,NA())</f>
        <v>513.63066450342865</v>
      </c>
      <c r="G22" s="83">
        <f>E22*Parameters!$D$33/Constants!$B$8</f>
        <v>1514.1804303780846</v>
      </c>
      <c r="H22" s="73"/>
    </row>
    <row r="23" spans="1:8" ht="14.25" customHeight="1" x14ac:dyDescent="0.35">
      <c r="A23" s="81" t="s">
        <v>294</v>
      </c>
      <c r="B23" s="82">
        <f>Routing!H23</f>
        <v>166.596912</v>
      </c>
      <c r="C23" s="16">
        <f>IFERROR(B23/$C$8,NA())</f>
        <v>103.65506837852999</v>
      </c>
      <c r="D23" s="83">
        <f>B23*Parameters!$C$34/Constants!$B$8</f>
        <v>150.21033049180329</v>
      </c>
      <c r="E23" s="82">
        <f>Routing!I23</f>
        <v>122.11964999999998</v>
      </c>
      <c r="F23" s="16">
        <f>IFERROR(E23/$G$8,NA())</f>
        <v>17.095888013820044</v>
      </c>
      <c r="G23" s="83">
        <f>E23*Parameters!$D$34/Constants!$B$8</f>
        <v>125.99646428571428</v>
      </c>
      <c r="H23" s="73"/>
    </row>
    <row r="24" spans="1:8" ht="14.25" customHeight="1" x14ac:dyDescent="0.35">
      <c r="A24" s="81" t="s">
        <v>295</v>
      </c>
      <c r="B24" s="82">
        <f>Routing!H24</f>
        <v>25.709400000000002</v>
      </c>
      <c r="C24" s="16">
        <f>IFERROR(B24/$C$9,NA())</f>
        <v>15.996152527550926</v>
      </c>
      <c r="D24" s="83">
        <f>B24*Parameters!$C$34/Constants!$B$8</f>
        <v>23.180606557377054</v>
      </c>
      <c r="E24" s="82">
        <f>Routing!I24</f>
        <v>42.848999999999997</v>
      </c>
      <c r="F24" s="16">
        <f>IFERROR(E24/$G$9,NA())</f>
        <v>5.9985571978315955</v>
      </c>
      <c r="G24" s="83">
        <f>E24*Parameters!$D$34/Constants!$B$8</f>
        <v>44.209285714285713</v>
      </c>
      <c r="H24" s="73"/>
    </row>
    <row r="25" spans="1:8" ht="14.25" customHeight="1" x14ac:dyDescent="0.35">
      <c r="A25" s="81" t="s">
        <v>296</v>
      </c>
      <c r="B25" s="82">
        <f>Routing!H25</f>
        <v>8.5698000000000008</v>
      </c>
      <c r="C25" s="16">
        <f>IFERROR(B25/$C$10,NA())</f>
        <v>5.3320508425169759</v>
      </c>
      <c r="D25" s="83">
        <f>B25*(Parameters!$C$34/Constants!$B$8)*(1+Parameters!$C$37)</f>
        <v>8.8858991803278702</v>
      </c>
      <c r="E25" s="82">
        <f>Routing!I25</f>
        <v>128.547</v>
      </c>
      <c r="F25" s="16">
        <f>IFERROR(E25/$G$10,NA())</f>
        <v>17.995671593494787</v>
      </c>
      <c r="G25" s="83">
        <f>E25*(Parameters!$D$34/Constants!$B$8)*(1+Parameters!$D$37)</f>
        <v>179.04760714285717</v>
      </c>
      <c r="H25" s="73"/>
    </row>
    <row r="26" spans="1:8" ht="14.25" customHeight="1" x14ac:dyDescent="0.35">
      <c r="A26" s="81" t="s">
        <v>297</v>
      </c>
      <c r="B26" s="82" t="e">
        <f>NA()</f>
        <v>#N/A</v>
      </c>
      <c r="C26" s="16">
        <f>Routing!B20/Theoretical!C11</f>
        <v>1690.4810958904109</v>
      </c>
      <c r="D26" s="83">
        <v>0</v>
      </c>
      <c r="E26" s="82" t="e">
        <f>NA()</f>
        <v>#N/A</v>
      </c>
      <c r="F26" s="16">
        <f>Routing!C20/Theoretical!G11</f>
        <v>234.78904109589041</v>
      </c>
      <c r="G26" s="83">
        <v>0</v>
      </c>
      <c r="H26" s="73"/>
    </row>
    <row r="27" spans="1:8" ht="14.25" customHeight="1" x14ac:dyDescent="0.35">
      <c r="A27" s="81" t="s">
        <v>298</v>
      </c>
      <c r="B27" s="82">
        <f>Routing!H26</f>
        <v>614.24306000000001</v>
      </c>
      <c r="C27" s="16">
        <f>IFERROR(B27/$C$12,NA())</f>
        <v>1529.8706351183062</v>
      </c>
      <c r="D27" s="83">
        <f>B27*Parameters!$C$35/Constants!$B$8</f>
        <v>511.86921666666672</v>
      </c>
      <c r="E27" s="82">
        <f>Routing!I26</f>
        <v>614.24306000000001</v>
      </c>
      <c r="F27" s="16">
        <f>IFERROR(E27/$G$12,NA())</f>
        <v>210.25776608804981</v>
      </c>
      <c r="G27" s="83">
        <f>E27*Parameters!$D$35/Constants!$B$8</f>
        <v>594.42876774193542</v>
      </c>
      <c r="H27" s="73"/>
    </row>
    <row r="28" spans="1:8" ht="14.25" customHeight="1" x14ac:dyDescent="0.35">
      <c r="A28" s="81" t="s">
        <v>299</v>
      </c>
      <c r="B28" s="82">
        <f>Routing!H27</f>
        <v>225.59205000000003</v>
      </c>
      <c r="C28" s="16">
        <f>IFERROR(B28/$C$13,NA())</f>
        <v>1329.1621741051704</v>
      </c>
      <c r="D28" s="83">
        <f>B28*Parameters!$C$35/Constants!$B$8</f>
        <v>187.99337500000004</v>
      </c>
      <c r="E28" s="82">
        <f>Routing!I27</f>
        <v>225.59205000000003</v>
      </c>
      <c r="F28" s="16">
        <f>IFERROR(E28/$G$13,NA())</f>
        <v>82.353591619263014</v>
      </c>
      <c r="G28" s="83">
        <f>E28*Parameters!$D$35/Constants!$B$8</f>
        <v>218.31488709677421</v>
      </c>
      <c r="H28" s="73"/>
    </row>
    <row r="29" spans="1:8" ht="14.25" customHeight="1" x14ac:dyDescent="0.35">
      <c r="A29" s="81" t="s">
        <v>300</v>
      </c>
      <c r="B29" s="82">
        <f>Routing!H28</f>
        <v>80.54025</v>
      </c>
      <c r="C29" s="16">
        <f>IFERROR(B29/$C$14,NA())</f>
        <v>2372.6690234202383</v>
      </c>
      <c r="D29" s="83">
        <f>B29*Parameters!$C$35/Constants!$B$8</f>
        <v>67.116875000000007</v>
      </c>
      <c r="E29" s="82">
        <f>Routing!I28</f>
        <v>80.54025</v>
      </c>
      <c r="F29" s="16">
        <f>IFERROR(E29/$G$14,NA())</f>
        <v>147.00825799077023</v>
      </c>
      <c r="G29" s="83">
        <f>E29*Parameters!$D$35/Constants!$B$8</f>
        <v>77.942177419354834</v>
      </c>
      <c r="H29" s="73"/>
    </row>
    <row r="30" spans="1:8" ht="14.25" customHeight="1" x14ac:dyDescent="0.35">
      <c r="B30" s="37"/>
      <c r="E30" s="37"/>
    </row>
    <row r="31" spans="1:8" ht="14.25" customHeight="1" x14ac:dyDescent="0.35">
      <c r="A31" s="9" t="s">
        <v>301</v>
      </c>
    </row>
    <row r="32" spans="1:8" ht="14.25" customHeight="1" x14ac:dyDescent="0.35">
      <c r="A32" s="9" t="s">
        <v>302</v>
      </c>
    </row>
    <row r="33" spans="1:1" ht="14.25" customHeight="1" x14ac:dyDescent="0.35">
      <c r="A33" s="3" t="s">
        <v>303</v>
      </c>
    </row>
    <row r="34" spans="1:1" ht="14.25" customHeight="1" x14ac:dyDescent="0.35">
      <c r="A34" s="9" t="s">
        <v>304</v>
      </c>
    </row>
  </sheetData>
  <mergeCells count="7">
    <mergeCell ref="B17:D17"/>
    <mergeCell ref="E17:G17"/>
    <mergeCell ref="A1:K1"/>
    <mergeCell ref="A2:B2"/>
    <mergeCell ref="C2:F2"/>
    <mergeCell ref="G2:J2"/>
    <mergeCell ref="A16:H16"/>
  </mergeCells>
  <pageMargins left="0.7" right="0.7" top="0.75" bottom="0.75" header="0.511811023622047" footer="0.511811023622047"/>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34"/>
  <sheetViews>
    <sheetView showGridLines="0" zoomScaleNormal="100" workbookViewId="0">
      <selection activeCell="A30" sqref="A30"/>
    </sheetView>
  </sheetViews>
  <sheetFormatPr defaultColWidth="8.81640625" defaultRowHeight="14.5" x14ac:dyDescent="0.35"/>
  <cols>
    <col min="1" max="1" width="35.1796875" style="9" customWidth="1"/>
    <col min="2" max="2" width="36.1796875" style="9" customWidth="1"/>
    <col min="3" max="3" width="16.81640625" style="9" customWidth="1"/>
    <col min="4" max="4" width="19.453125" style="9" customWidth="1"/>
    <col min="5" max="5" width="26.81640625" style="9" customWidth="1"/>
    <col min="6" max="6" width="13.1796875" style="9" customWidth="1"/>
    <col min="7" max="7" width="16.1796875" style="9" customWidth="1"/>
    <col min="8" max="8" width="19.453125" style="9" customWidth="1"/>
    <col min="9" max="9" width="26.81640625" style="9" customWidth="1"/>
    <col min="10" max="10" width="13" style="9" customWidth="1"/>
    <col min="11" max="11" width="72.54296875" style="9" customWidth="1"/>
    <col min="12" max="16384" width="8.81640625" style="9"/>
  </cols>
  <sheetData>
    <row r="1" spans="1:11" ht="15" customHeight="1" x14ac:dyDescent="0.35">
      <c r="A1" s="181" t="s">
        <v>305</v>
      </c>
      <c r="B1" s="181"/>
      <c r="C1" s="181"/>
      <c r="D1" s="181"/>
      <c r="E1" s="181"/>
      <c r="F1" s="181"/>
      <c r="G1" s="181"/>
      <c r="H1" s="181"/>
      <c r="I1" s="181"/>
      <c r="J1" s="181"/>
      <c r="K1" s="181"/>
    </row>
    <row r="2" spans="1:11" ht="14.25" customHeight="1" x14ac:dyDescent="0.35">
      <c r="A2" s="182" t="s">
        <v>255</v>
      </c>
      <c r="B2" s="182"/>
      <c r="C2" s="180" t="s">
        <v>78</v>
      </c>
      <c r="D2" s="180"/>
      <c r="E2" s="180"/>
      <c r="F2" s="180"/>
      <c r="G2" s="180" t="s">
        <v>79</v>
      </c>
      <c r="H2" s="180"/>
      <c r="I2" s="180"/>
      <c r="J2" s="180"/>
      <c r="K2" s="64"/>
    </row>
    <row r="3" spans="1:11" ht="14.25" customHeight="1" x14ac:dyDescent="0.35">
      <c r="A3" s="84" t="s">
        <v>256</v>
      </c>
      <c r="B3" s="85" t="s">
        <v>257</v>
      </c>
      <c r="C3" s="66" t="s">
        <v>258</v>
      </c>
      <c r="D3" s="11" t="s">
        <v>259</v>
      </c>
      <c r="E3" s="11" t="s">
        <v>260</v>
      </c>
      <c r="F3" s="12" t="s">
        <v>261</v>
      </c>
      <c r="G3" s="67" t="s">
        <v>258</v>
      </c>
      <c r="H3" s="11" t="s">
        <v>259</v>
      </c>
      <c r="I3" s="11" t="s">
        <v>260</v>
      </c>
      <c r="J3" s="12" t="s">
        <v>262</v>
      </c>
      <c r="K3" s="86" t="s">
        <v>306</v>
      </c>
    </row>
    <row r="4" spans="1:11" ht="14.25" customHeight="1" x14ac:dyDescent="0.35">
      <c r="A4" s="1" t="s">
        <v>64</v>
      </c>
      <c r="B4" s="69" t="s">
        <v>264</v>
      </c>
      <c r="C4" s="70">
        <f>IFERROR($F4*Inputs!$C$3/1000,NA())</f>
        <v>0.13505</v>
      </c>
      <c r="D4" s="41">
        <v>0.37</v>
      </c>
      <c r="E4" s="41">
        <v>1</v>
      </c>
      <c r="F4" s="71">
        <f t="shared" ref="F4:F9" si="0">IFERROR($D4/$E4,NA())</f>
        <v>0.37</v>
      </c>
      <c r="G4" s="72">
        <f>IFERROR($J4*Inputs!$C$3/1000,NA())</f>
        <v>0.60703870103255309</v>
      </c>
      <c r="H4" s="41">
        <v>2.11</v>
      </c>
      <c r="I4" s="41">
        <v>1.2686999999999999</v>
      </c>
      <c r="J4" s="71">
        <f t="shared" ref="J4:J9" si="1">IFERROR($H4/$I4,NA())</f>
        <v>1.6631197288563095</v>
      </c>
      <c r="K4" s="73" t="s">
        <v>362</v>
      </c>
    </row>
    <row r="5" spans="1:11" ht="14.25" customHeight="1" x14ac:dyDescent="0.35">
      <c r="A5" s="1" t="s">
        <v>64</v>
      </c>
      <c r="B5" s="69" t="s">
        <v>266</v>
      </c>
      <c r="C5" s="70">
        <f>IFERROR($F5*Inputs!$C$3/1000,NA())</f>
        <v>1.6789999999999998</v>
      </c>
      <c r="D5" s="41">
        <v>4.5999999999999996</v>
      </c>
      <c r="E5" s="41">
        <v>1</v>
      </c>
      <c r="F5" s="71">
        <f t="shared" si="0"/>
        <v>4.5999999999999996</v>
      </c>
      <c r="G5" s="72">
        <f>IFERROR($J5*Inputs!$C$3/1000,NA())</f>
        <v>15.742728777488768</v>
      </c>
      <c r="H5" s="41">
        <v>54.72</v>
      </c>
      <c r="I5" s="41">
        <v>1.2686999999999999</v>
      </c>
      <c r="J5" s="71">
        <f t="shared" si="1"/>
        <v>43.13076377394183</v>
      </c>
      <c r="K5" s="73" t="s">
        <v>371</v>
      </c>
    </row>
    <row r="6" spans="1:11" ht="14.25" customHeight="1" x14ac:dyDescent="0.35">
      <c r="A6" s="1" t="s">
        <v>268</v>
      </c>
      <c r="B6" s="69" t="s">
        <v>269</v>
      </c>
      <c r="C6" s="70">
        <f>IFERROR($F6*Inputs!$C$3/1000,NA())</f>
        <v>5.3609374999999995</v>
      </c>
      <c r="D6" s="41">
        <v>0.47</v>
      </c>
      <c r="E6" s="41">
        <v>3.2000000000000001E-2</v>
      </c>
      <c r="F6" s="71">
        <f t="shared" si="0"/>
        <v>14.687499999999998</v>
      </c>
      <c r="G6" s="72">
        <f>IFERROR($J6*Inputs!$C$3/1000,NA())</f>
        <v>1.5272368421052631</v>
      </c>
      <c r="H6" s="41">
        <v>1.59</v>
      </c>
      <c r="I6" s="41">
        <v>0.38</v>
      </c>
      <c r="J6" s="71">
        <f t="shared" si="1"/>
        <v>4.1842105263157894</v>
      </c>
      <c r="K6" s="73" t="s">
        <v>363</v>
      </c>
    </row>
    <row r="7" spans="1:11" ht="14.25" customHeight="1" x14ac:dyDescent="0.35">
      <c r="A7" s="1" t="s">
        <v>271</v>
      </c>
      <c r="B7" s="69" t="s">
        <v>272</v>
      </c>
      <c r="C7" s="70">
        <f>IFERROR($F7*Inputs!$C$3/1000,NA())</f>
        <v>0.14179856115107917</v>
      </c>
      <c r="D7" s="41">
        <v>0.54</v>
      </c>
      <c r="E7" s="41">
        <v>1.39</v>
      </c>
      <c r="F7" s="71">
        <f t="shared" si="0"/>
        <v>0.38848920863309355</v>
      </c>
      <c r="G7" s="72">
        <f>IFERROR($J7*Inputs!$C$3/1000,NA())</f>
        <v>1.970582533682272</v>
      </c>
      <c r="H7" s="41">
        <v>5.57</v>
      </c>
      <c r="I7" s="41">
        <v>1.0317000000000001</v>
      </c>
      <c r="J7" s="71">
        <f t="shared" si="1"/>
        <v>5.398856256663759</v>
      </c>
      <c r="K7" s="73" t="s">
        <v>364</v>
      </c>
    </row>
    <row r="8" spans="1:11" ht="14.25" customHeight="1" x14ac:dyDescent="0.35">
      <c r="A8" s="1" t="s">
        <v>189</v>
      </c>
      <c r="B8" s="69" t="s">
        <v>307</v>
      </c>
      <c r="C8" s="70">
        <f>IFERROR($F8*Inputs!$C$3/1000,NA())</f>
        <v>0.42590077605321508</v>
      </c>
      <c r="D8" s="41">
        <v>1.0525</v>
      </c>
      <c r="E8" s="41">
        <v>0.90200000000000002</v>
      </c>
      <c r="F8" s="71">
        <f t="shared" si="0"/>
        <v>1.1668514412416851</v>
      </c>
      <c r="G8" s="72">
        <f>IFERROR($J8*Inputs!$C$3/1000,NA())</f>
        <v>2.810602919223752</v>
      </c>
      <c r="H8" s="41">
        <v>9.2850000000000001</v>
      </c>
      <c r="I8" s="41">
        <v>1.2058</v>
      </c>
      <c r="J8" s="71">
        <f t="shared" si="1"/>
        <v>7.7002819704760324</v>
      </c>
      <c r="K8" s="73" t="s">
        <v>365</v>
      </c>
    </row>
    <row r="9" spans="1:11" ht="14.25" customHeight="1" x14ac:dyDescent="0.35">
      <c r="A9" s="1" t="s">
        <v>66</v>
      </c>
      <c r="B9" s="69" t="s">
        <v>307</v>
      </c>
      <c r="C9" s="70" t="e">
        <f>IFERROR($F9*Inputs!$C$3/1000,NA())</f>
        <v>#N/A</v>
      </c>
      <c r="D9" s="41"/>
      <c r="E9" s="41"/>
      <c r="F9" s="71" t="e">
        <f t="shared" si="0"/>
        <v>#N/A</v>
      </c>
      <c r="G9" s="72" t="e">
        <f>IFERROR($J9*Inputs!$C$3/1000,NA())</f>
        <v>#N/A</v>
      </c>
      <c r="H9" s="41"/>
      <c r="I9" s="41"/>
      <c r="J9" s="71" t="e">
        <f t="shared" si="1"/>
        <v>#N/A</v>
      </c>
      <c r="K9" s="73" t="s">
        <v>370</v>
      </c>
    </row>
    <row r="10" spans="1:11" ht="14.25" customHeight="1" x14ac:dyDescent="0.35">
      <c r="A10" s="1"/>
      <c r="B10" s="69"/>
      <c r="C10" s="70"/>
      <c r="D10" s="41"/>
      <c r="E10" s="41"/>
      <c r="F10" s="71"/>
      <c r="G10" s="72"/>
      <c r="H10" s="41"/>
      <c r="I10" s="41"/>
      <c r="J10" s="71"/>
      <c r="K10" s="73" t="s">
        <v>372</v>
      </c>
    </row>
    <row r="11" spans="1:11" ht="14.25" customHeight="1" x14ac:dyDescent="0.35">
      <c r="A11" s="1" t="s">
        <v>66</v>
      </c>
      <c r="B11" s="69" t="s">
        <v>308</v>
      </c>
      <c r="C11" s="70">
        <f>IFERROR($F11*Inputs!$C$3/1000,NA())</f>
        <v>0.88695000000000002</v>
      </c>
      <c r="D11" s="41">
        <v>2.4300000000000002</v>
      </c>
      <c r="E11" s="41">
        <v>1</v>
      </c>
      <c r="F11" s="71">
        <f>IFERROR($D11/$E11,NA())</f>
        <v>2.4300000000000002</v>
      </c>
      <c r="G11" s="72">
        <f>IFERROR($J11*Inputs!$C$3/1000,NA())</f>
        <v>3.2850000000000001</v>
      </c>
      <c r="H11" s="41">
        <v>9</v>
      </c>
      <c r="I11" s="41">
        <v>1</v>
      </c>
      <c r="J11" s="71">
        <f>IFERROR($H11/$I11,NA())</f>
        <v>9</v>
      </c>
      <c r="K11" s="73" t="s">
        <v>366</v>
      </c>
    </row>
    <row r="12" spans="1:11" ht="14.25" customHeight="1" x14ac:dyDescent="0.35">
      <c r="A12" s="1" t="s">
        <v>68</v>
      </c>
      <c r="B12" s="69" t="s">
        <v>307</v>
      </c>
      <c r="C12" s="70">
        <f>IFERROR($F12*Inputs!$C$3/1000,NA())</f>
        <v>0.2618478260869565</v>
      </c>
      <c r="D12" s="41">
        <v>0.66</v>
      </c>
      <c r="E12" s="41">
        <v>0.92</v>
      </c>
      <c r="F12" s="71">
        <f>IFERROR($D12/$E12,NA())</f>
        <v>0.71739130434782605</v>
      </c>
      <c r="G12" s="72">
        <f>IFERROR($J12*Inputs!$C$3/1000,NA())</f>
        <v>1.7804878048780488</v>
      </c>
      <c r="H12" s="41">
        <v>6</v>
      </c>
      <c r="I12" s="41">
        <v>1.23</v>
      </c>
      <c r="J12" s="71">
        <f>IFERROR($H12/$I12,NA())</f>
        <v>4.8780487804878048</v>
      </c>
      <c r="K12" s="73" t="s">
        <v>367</v>
      </c>
    </row>
    <row r="13" spans="1:11" ht="14.25" customHeight="1" x14ac:dyDescent="0.35">
      <c r="A13" s="1" t="s">
        <v>70</v>
      </c>
      <c r="B13" s="69" t="s">
        <v>309</v>
      </c>
      <c r="C13" s="70">
        <f>IFERROR($F13*Inputs!$C$3/1000,NA())</f>
        <v>6.5078960774325026E-2</v>
      </c>
      <c r="D13" s="41">
        <v>3.5000000000000003E-2</v>
      </c>
      <c r="E13" s="41">
        <v>0.1963</v>
      </c>
      <c r="F13" s="71">
        <f>IFERROR($D13/$E13,NA())</f>
        <v>0.17829852266938362</v>
      </c>
      <c r="G13" s="72">
        <f>IFERROR($J13*Inputs!$C$3/1000,NA())</f>
        <v>5.9242307692307698E-2</v>
      </c>
      <c r="H13" s="41">
        <v>8.4400000000000003E-2</v>
      </c>
      <c r="I13" s="41">
        <v>0.52</v>
      </c>
      <c r="J13" s="71">
        <f>IFERROR($H13/$I13,NA())</f>
        <v>0.16230769230769232</v>
      </c>
      <c r="K13" s="74" t="s">
        <v>368</v>
      </c>
    </row>
    <row r="14" spans="1:11" ht="14.25" customHeight="1" x14ac:dyDescent="0.35">
      <c r="A14" s="1" t="s">
        <v>72</v>
      </c>
      <c r="B14" s="69" t="s">
        <v>309</v>
      </c>
      <c r="C14" s="70">
        <f>IFERROR($F14*Inputs!$C$3/1000,NA())</f>
        <v>5.615384615384615E-3</v>
      </c>
      <c r="D14" s="41">
        <v>0.01</v>
      </c>
      <c r="E14" s="41">
        <v>0.65</v>
      </c>
      <c r="F14" s="71">
        <f>IFERROR($D14/$E14,NA())</f>
        <v>1.5384615384615384E-2</v>
      </c>
      <c r="G14" s="72">
        <f>IFERROR($J14*Inputs!$C$3/1000,NA())</f>
        <v>0.39584507042253525</v>
      </c>
      <c r="H14" s="41">
        <v>0.77</v>
      </c>
      <c r="I14" s="41">
        <v>0.71</v>
      </c>
      <c r="J14" s="71">
        <f>IFERROR($H14/$I14,NA())</f>
        <v>1.0845070422535212</v>
      </c>
      <c r="K14" s="74" t="s">
        <v>369</v>
      </c>
    </row>
    <row r="16" spans="1:11" ht="15" customHeight="1" x14ac:dyDescent="0.35">
      <c r="A16" s="183" t="s">
        <v>285</v>
      </c>
      <c r="B16" s="183"/>
      <c r="C16" s="183"/>
      <c r="D16" s="183"/>
      <c r="E16" s="183"/>
      <c r="F16" s="183"/>
      <c r="G16" s="183"/>
      <c r="H16" s="183"/>
    </row>
    <row r="17" spans="1:8" ht="14.25" customHeight="1" x14ac:dyDescent="0.35">
      <c r="A17" s="75" t="s">
        <v>255</v>
      </c>
      <c r="B17" s="180" t="s">
        <v>78</v>
      </c>
      <c r="C17" s="180"/>
      <c r="D17" s="180"/>
      <c r="E17" s="180" t="s">
        <v>79</v>
      </c>
      <c r="F17" s="180"/>
      <c r="G17" s="180"/>
      <c r="H17" s="76"/>
    </row>
    <row r="18" spans="1:8" ht="14.25" customHeight="1" x14ac:dyDescent="0.35">
      <c r="A18" s="87" t="s">
        <v>286</v>
      </c>
      <c r="B18" s="78" t="s">
        <v>287</v>
      </c>
      <c r="C18" s="79" t="s">
        <v>310</v>
      </c>
      <c r="D18" s="80" t="s">
        <v>289</v>
      </c>
      <c r="E18" s="78" t="s">
        <v>287</v>
      </c>
      <c r="F18" s="79" t="s">
        <v>288</v>
      </c>
      <c r="G18" s="80" t="s">
        <v>289</v>
      </c>
      <c r="H18" s="88" t="s">
        <v>63</v>
      </c>
    </row>
    <row r="19" spans="1:8" ht="14.25" customHeight="1" x14ac:dyDescent="0.35">
      <c r="A19" s="81" t="s">
        <v>290</v>
      </c>
      <c r="B19" s="82">
        <f>Routing!H19</f>
        <v>255.35900948999998</v>
      </c>
      <c r="C19" s="16">
        <f>IFERROR(B19/$C$4,NA())</f>
        <v>1890.8479044057754</v>
      </c>
      <c r="D19" s="83">
        <f t="shared" ref="D19:D24" si="2">B19*E4</f>
        <v>255.35900948999998</v>
      </c>
      <c r="E19" s="82">
        <f>Routing!I19</f>
        <v>9.6761941906580091</v>
      </c>
      <c r="F19" s="16">
        <f>IFERROR(E19/$G$4,NA())</f>
        <v>15.939995545916789</v>
      </c>
      <c r="G19" s="83">
        <f t="shared" ref="G19:G24" si="3">E19*I4</f>
        <v>12.276187569687815</v>
      </c>
      <c r="H19" s="73"/>
    </row>
    <row r="20" spans="1:8" ht="14.25" customHeight="1" x14ac:dyDescent="0.35">
      <c r="A20" s="81" t="s">
        <v>291</v>
      </c>
      <c r="B20" s="82">
        <f>Routing!H20</f>
        <v>85.119669829999992</v>
      </c>
      <c r="C20" s="16">
        <f>IFERROR(B20/$C$5,NA())</f>
        <v>50.696646712328764</v>
      </c>
      <c r="D20" s="83">
        <f t="shared" si="2"/>
        <v>85.119669829999992</v>
      </c>
      <c r="E20" s="82">
        <f>Routing!I20</f>
        <v>29.028582571974027</v>
      </c>
      <c r="F20" s="16">
        <f>IFERROR(E20/$G$5,NA())</f>
        <v>1.8439358882612076</v>
      </c>
      <c r="G20" s="83">
        <f t="shared" si="3"/>
        <v>36.828562709063448</v>
      </c>
      <c r="H20" s="73"/>
    </row>
    <row r="21" spans="1:8" ht="14.25" customHeight="1" x14ac:dyDescent="0.35">
      <c r="A21" s="81" t="s">
        <v>292</v>
      </c>
      <c r="B21" s="82">
        <f>Routing!H21</f>
        <v>37.453224839999983</v>
      </c>
      <c r="C21" s="16">
        <f>IFERROR(B21/$C$6,NA())</f>
        <v>6.9863199934712883</v>
      </c>
      <c r="D21" s="83">
        <f t="shared" si="2"/>
        <v>1.1985031948799996</v>
      </c>
      <c r="E21" s="82">
        <f>Routing!I21</f>
        <v>311.86479842784001</v>
      </c>
      <c r="F21" s="16">
        <f>IFERROR(E21/$G$6,NA())</f>
        <v>204.20198742582787</v>
      </c>
      <c r="G21" s="83">
        <f t="shared" si="3"/>
        <v>118.5086234025792</v>
      </c>
      <c r="H21" s="73"/>
    </row>
    <row r="22" spans="1:8" ht="14.25" customHeight="1" x14ac:dyDescent="0.35">
      <c r="A22" s="81" t="s">
        <v>293</v>
      </c>
      <c r="B22" s="82">
        <f>Routing!H22</f>
        <v>388.96524694800001</v>
      </c>
      <c r="C22" s="16">
        <f>IFERROR(B22/$C$7,NA())</f>
        <v>2743.0831722867574</v>
      </c>
      <c r="D22" s="83">
        <f t="shared" si="2"/>
        <v>540.66169325772</v>
      </c>
      <c r="E22" s="82">
        <f>Routing!I22</f>
        <v>1467.5902632895279</v>
      </c>
      <c r="F22" s="16">
        <f>IFERROR(E22/$G$7,NA())</f>
        <v>744.74945261346545</v>
      </c>
      <c r="G22" s="83">
        <f t="shared" si="3"/>
        <v>1514.1128746358061</v>
      </c>
      <c r="H22" s="73"/>
    </row>
    <row r="23" spans="1:8" ht="14.25" customHeight="1" x14ac:dyDescent="0.35">
      <c r="A23" s="81" t="s">
        <v>294</v>
      </c>
      <c r="B23" s="82">
        <f>Routing!H23</f>
        <v>166.596912</v>
      </c>
      <c r="C23" s="16">
        <f>IFERROR(B23/$C$8,NA())</f>
        <v>391.16367324764911</v>
      </c>
      <c r="D23" s="83">
        <f t="shared" si="2"/>
        <v>150.27041462400001</v>
      </c>
      <c r="E23" s="82">
        <f>Routing!I23</f>
        <v>122.11964999999998</v>
      </c>
      <c r="F23" s="16">
        <f>IFERROR(E23/$G$8,NA())</f>
        <v>43.449627538893921</v>
      </c>
      <c r="G23" s="83">
        <f t="shared" si="3"/>
        <v>147.25187396999996</v>
      </c>
      <c r="H23" s="73"/>
    </row>
    <row r="24" spans="1:8" ht="14.25" customHeight="1" x14ac:dyDescent="0.35">
      <c r="A24" s="81" t="s">
        <v>295</v>
      </c>
      <c r="B24" s="82">
        <f>Routing!H24</f>
        <v>25.709400000000002</v>
      </c>
      <c r="C24" s="16" t="e">
        <f>IFERROR(B24/$C$9,NA())</f>
        <v>#N/A</v>
      </c>
      <c r="D24" s="83">
        <f t="shared" si="2"/>
        <v>0</v>
      </c>
      <c r="E24" s="82">
        <f>Routing!I24</f>
        <v>42.848999999999997</v>
      </c>
      <c r="F24" s="16" t="e">
        <f>IFERROR(E24/$G$9,NA())</f>
        <v>#N/A</v>
      </c>
      <c r="G24" s="83">
        <f t="shared" si="3"/>
        <v>0</v>
      </c>
      <c r="H24" s="73"/>
    </row>
    <row r="25" spans="1:8" ht="14.25" customHeight="1" x14ac:dyDescent="0.35">
      <c r="A25" s="81"/>
      <c r="B25" s="82"/>
      <c r="C25" s="16"/>
      <c r="D25" s="83"/>
      <c r="E25" s="82"/>
      <c r="F25" s="16"/>
      <c r="G25" s="83"/>
      <c r="H25" s="73"/>
    </row>
    <row r="26" spans="1:8" ht="14.25" customHeight="1" x14ac:dyDescent="0.35">
      <c r="A26" s="81" t="s">
        <v>297</v>
      </c>
      <c r="B26" s="82" t="e">
        <f>NA()</f>
        <v>#N/A</v>
      </c>
      <c r="C26" s="16">
        <f>IFERROR(Routing!B20/$C$11,NA())</f>
        <v>347.83561643835611</v>
      </c>
      <c r="D26" s="83" t="e">
        <f>B26*E11</f>
        <v>#N/A</v>
      </c>
      <c r="E26" s="82" t="e">
        <f>NA()</f>
        <v>#N/A</v>
      </c>
      <c r="F26" s="16">
        <f>IFERROR(Routing!C20/$G$11,NA())</f>
        <v>52.175342465753417</v>
      </c>
      <c r="G26" s="83" t="e">
        <f>E26*I11</f>
        <v>#N/A</v>
      </c>
      <c r="H26" s="73"/>
    </row>
    <row r="27" spans="1:8" ht="14.25" customHeight="1" x14ac:dyDescent="0.35">
      <c r="A27" s="81" t="s">
        <v>298</v>
      </c>
      <c r="B27" s="82">
        <f>Routing!H26</f>
        <v>614.24306000000001</v>
      </c>
      <c r="C27" s="16">
        <f>IFERROR(B27/$C$12,NA())</f>
        <v>2345.8016405147368</v>
      </c>
      <c r="D27" s="83">
        <f>B27*E12</f>
        <v>565.10361520000004</v>
      </c>
      <c r="E27" s="82">
        <f>Routing!I26</f>
        <v>614.24306000000001</v>
      </c>
      <c r="F27" s="16">
        <f>IFERROR(E27/$G$12,NA())</f>
        <v>344.98582821917807</v>
      </c>
      <c r="G27" s="83">
        <f>E27*I12</f>
        <v>755.51896380000005</v>
      </c>
      <c r="H27" s="73"/>
    </row>
    <row r="28" spans="1:8" ht="14.25" customHeight="1" x14ac:dyDescent="0.35">
      <c r="A28" s="81" t="s">
        <v>299</v>
      </c>
      <c r="B28" s="82">
        <f>Routing!H27</f>
        <v>225.59205000000003</v>
      </c>
      <c r="C28" s="16">
        <f>IFERROR(B28/$C$13,NA())</f>
        <v>3466.4359620352247</v>
      </c>
      <c r="D28" s="83">
        <f>B28*E13</f>
        <v>44.283719415000007</v>
      </c>
      <c r="E28" s="82">
        <f>Routing!I27</f>
        <v>225.59205000000003</v>
      </c>
      <c r="F28" s="16">
        <f>IFERROR(E28/$G$13,NA())</f>
        <v>3807.9551386093617</v>
      </c>
      <c r="G28" s="83">
        <f>E28*I13</f>
        <v>117.30786600000002</v>
      </c>
      <c r="H28" s="73"/>
    </row>
    <row r="29" spans="1:8" ht="14.25" customHeight="1" x14ac:dyDescent="0.35">
      <c r="A29" s="81" t="s">
        <v>300</v>
      </c>
      <c r="B29" s="82">
        <f>Routing!H28</f>
        <v>80.54025</v>
      </c>
      <c r="C29" s="16">
        <f>IFERROR(B29/$C$14,NA())</f>
        <v>14342.784246575344</v>
      </c>
      <c r="D29" s="83">
        <f>B29*E14</f>
        <v>52.351162500000001</v>
      </c>
      <c r="E29" s="82">
        <f>Routing!I28</f>
        <v>80.54025</v>
      </c>
      <c r="F29" s="16">
        <f>IFERROR(E29/$G$14,NA())</f>
        <v>203.4640722291407</v>
      </c>
      <c r="G29" s="83">
        <f>E29*I14</f>
        <v>57.183577499999998</v>
      </c>
      <c r="H29" s="73"/>
    </row>
    <row r="30" spans="1:8" ht="14.25" customHeight="1" x14ac:dyDescent="0.35">
      <c r="B30" s="37"/>
      <c r="E30" s="37"/>
    </row>
    <row r="31" spans="1:8" ht="14.25" customHeight="1" x14ac:dyDescent="0.35">
      <c r="A31" s="9" t="s">
        <v>301</v>
      </c>
    </row>
    <row r="32" spans="1:8" ht="14.25" customHeight="1" x14ac:dyDescent="0.35">
      <c r="A32" s="9" t="s">
        <v>302</v>
      </c>
    </row>
    <row r="33" spans="1:1" ht="14.25" customHeight="1" x14ac:dyDescent="0.35">
      <c r="A33" s="3" t="s">
        <v>303</v>
      </c>
    </row>
    <row r="34" spans="1:1" ht="14.25" customHeight="1" x14ac:dyDescent="0.35">
      <c r="A34" s="9" t="s">
        <v>304</v>
      </c>
    </row>
  </sheetData>
  <mergeCells count="7">
    <mergeCell ref="A16:H16"/>
    <mergeCell ref="B17:D17"/>
    <mergeCell ref="E17:G17"/>
    <mergeCell ref="A1:K1"/>
    <mergeCell ref="A2:B2"/>
    <mergeCell ref="C2:F2"/>
    <mergeCell ref="G2:J2"/>
  </mergeCells>
  <pageMargins left="0.7" right="0.7" top="0.75" bottom="0.75" header="0.511811023622047" footer="0.511811023622047"/>
  <pageSetup paperSize="9" orientation="portrait" horizontalDpi="300" verticalDpi="300"/>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22"/>
  <sheetViews>
    <sheetView showGridLines="0" zoomScaleNormal="100" workbookViewId="0">
      <selection activeCell="M2" sqref="M2"/>
    </sheetView>
  </sheetViews>
  <sheetFormatPr defaultColWidth="8.81640625" defaultRowHeight="14.5" x14ac:dyDescent="0.35"/>
  <cols>
    <col min="1" max="1" width="35.1796875" style="9" customWidth="1"/>
    <col min="2" max="2" width="21.1796875" style="9" customWidth="1"/>
    <col min="3" max="3" width="8.81640625" style="9"/>
    <col min="4" max="4" width="8.453125" style="9" customWidth="1"/>
    <col min="5" max="5" width="8.81640625" style="9"/>
    <col min="6" max="6" width="8.453125" style="9" customWidth="1"/>
    <col min="7" max="7" width="21.1796875" style="9" customWidth="1"/>
    <col min="8" max="8" width="8.81640625" style="9"/>
    <col min="9" max="9" width="8.453125" style="9" customWidth="1"/>
    <col min="10" max="10" width="8.81640625" style="9"/>
    <col min="11" max="11" width="8.453125" style="9" customWidth="1"/>
    <col min="12" max="12" width="48" style="9" customWidth="1"/>
    <col min="13" max="13" width="8.81640625" style="9"/>
    <col min="14" max="14" width="17.453125" style="9" customWidth="1"/>
    <col min="15" max="15" width="4.81640625" style="9" customWidth="1"/>
    <col min="16" max="16" width="4.1796875" style="9" customWidth="1"/>
    <col min="17" max="17" width="4.81640625" style="9" customWidth="1"/>
    <col min="18" max="18" width="4.1796875" style="9" customWidth="1"/>
    <col min="19" max="19" width="4.81640625" style="9" customWidth="1"/>
    <col min="20" max="20" width="4.1796875" style="9" customWidth="1"/>
    <col min="21" max="21" width="4.81640625" style="9" customWidth="1"/>
    <col min="22" max="22" width="4.1796875" style="9" customWidth="1"/>
    <col min="23" max="23" width="11.54296875" style="9" customWidth="1"/>
    <col min="24" max="24" width="98.453125" style="9" customWidth="1"/>
    <col min="25" max="16384" width="8.81640625" style="9"/>
  </cols>
  <sheetData>
    <row r="1" spans="1:24" ht="15" customHeight="1" x14ac:dyDescent="0.35">
      <c r="A1" s="181" t="s">
        <v>285</v>
      </c>
      <c r="B1" s="181"/>
      <c r="C1" s="181"/>
      <c r="D1" s="181"/>
      <c r="E1" s="181"/>
      <c r="F1" s="181"/>
      <c r="G1" s="181"/>
      <c r="H1" s="181"/>
      <c r="I1" s="181"/>
      <c r="J1" s="181"/>
      <c r="K1" s="181"/>
      <c r="L1" s="181"/>
      <c r="N1" s="184" t="s">
        <v>311</v>
      </c>
      <c r="O1" s="184"/>
      <c r="P1" s="184"/>
      <c r="Q1" s="184"/>
      <c r="R1" s="184"/>
      <c r="S1" s="184"/>
      <c r="T1" s="184"/>
      <c r="U1" s="184"/>
      <c r="V1" s="184"/>
      <c r="W1" s="184"/>
      <c r="X1" s="184"/>
    </row>
    <row r="2" spans="1:24" ht="14.25" customHeight="1" x14ac:dyDescent="0.35">
      <c r="A2" s="166"/>
      <c r="B2" s="166"/>
      <c r="C2" s="166"/>
      <c r="D2" s="166"/>
      <c r="E2" s="166"/>
      <c r="F2" s="166"/>
      <c r="G2" s="166"/>
      <c r="H2" s="166"/>
      <c r="I2" s="166"/>
      <c r="J2" s="166"/>
      <c r="K2" s="166"/>
      <c r="L2" s="166"/>
      <c r="N2" s="185"/>
      <c r="O2" s="185"/>
      <c r="P2" s="185"/>
      <c r="Q2" s="185"/>
      <c r="R2" s="185"/>
      <c r="S2" s="185"/>
      <c r="T2" s="185"/>
      <c r="U2" s="185"/>
      <c r="V2" s="185"/>
      <c r="W2" s="185"/>
      <c r="X2" s="185"/>
    </row>
    <row r="3" spans="1:24" ht="14.25" customHeight="1" x14ac:dyDescent="0.35">
      <c r="A3" s="62" t="s">
        <v>312</v>
      </c>
      <c r="B3" s="63" t="s">
        <v>78</v>
      </c>
      <c r="C3" s="89" t="s">
        <v>313</v>
      </c>
      <c r="D3" s="90" t="s">
        <v>314</v>
      </c>
      <c r="E3" s="89" t="s">
        <v>313</v>
      </c>
      <c r="F3" s="90" t="s">
        <v>314</v>
      </c>
      <c r="G3" s="89" t="s">
        <v>79</v>
      </c>
      <c r="H3" s="89" t="s">
        <v>313</v>
      </c>
      <c r="I3" s="90" t="s">
        <v>314</v>
      </c>
      <c r="J3" s="89" t="s">
        <v>313</v>
      </c>
      <c r="K3" s="90" t="s">
        <v>314</v>
      </c>
      <c r="L3" s="64"/>
      <c r="N3" s="91" t="s">
        <v>315</v>
      </c>
      <c r="O3" s="186" t="s">
        <v>313</v>
      </c>
      <c r="P3" s="186"/>
      <c r="Q3" s="186"/>
      <c r="R3" s="186"/>
      <c r="S3" s="187" t="s">
        <v>314</v>
      </c>
      <c r="T3" s="187"/>
      <c r="U3" s="187"/>
      <c r="V3" s="187"/>
      <c r="W3" s="64"/>
      <c r="X3" s="64"/>
    </row>
    <row r="4" spans="1:24" ht="14.25" customHeight="1" x14ac:dyDescent="0.35">
      <c r="A4" s="49" t="s">
        <v>286</v>
      </c>
      <c r="B4" s="50" t="s">
        <v>287</v>
      </c>
      <c r="C4" s="190" t="s">
        <v>289</v>
      </c>
      <c r="D4" s="190"/>
      <c r="E4" s="190" t="s">
        <v>310</v>
      </c>
      <c r="F4" s="190"/>
      <c r="G4" s="50" t="s">
        <v>287</v>
      </c>
      <c r="H4" s="190" t="s">
        <v>289</v>
      </c>
      <c r="I4" s="190"/>
      <c r="J4" s="190" t="s">
        <v>310</v>
      </c>
      <c r="K4" s="190"/>
      <c r="L4" s="49" t="s">
        <v>63</v>
      </c>
      <c r="N4" s="92" t="s">
        <v>255</v>
      </c>
      <c r="O4" s="189" t="s">
        <v>316</v>
      </c>
      <c r="P4" s="189"/>
      <c r="Q4" s="188" t="s">
        <v>317</v>
      </c>
      <c r="R4" s="188"/>
      <c r="S4" s="189" t="s">
        <v>316</v>
      </c>
      <c r="T4" s="189"/>
      <c r="U4" s="189" t="s">
        <v>317</v>
      </c>
      <c r="V4" s="189"/>
      <c r="W4" s="93" t="s">
        <v>318</v>
      </c>
      <c r="X4" s="93" t="s">
        <v>63</v>
      </c>
    </row>
    <row r="5" spans="1:24" ht="14.25" customHeight="1" x14ac:dyDescent="0.35">
      <c r="A5" s="94" t="s">
        <v>290</v>
      </c>
      <c r="B5" s="95">
        <f>Routing!H19</f>
        <v>255.35900948999998</v>
      </c>
      <c r="C5" s="96">
        <f>B5*Parameters!$C$30/Constants!$B$8</f>
        <v>279.29891662968748</v>
      </c>
      <c r="D5" s="97">
        <f>B5*Empirical!E4</f>
        <v>255.35900948999998</v>
      </c>
      <c r="E5" s="96">
        <f>IFERROR(B5/Theoretical!C4,NA())</f>
        <v>4664.0914975342457</v>
      </c>
      <c r="F5" s="97">
        <f>IFERROR(B5/Empirical!C4,NA())</f>
        <v>1890.8479044057754</v>
      </c>
      <c r="G5" s="95">
        <f>Routing!I19</f>
        <v>9.6761941906580091</v>
      </c>
      <c r="H5" s="96">
        <f>G5*Parameters!$D$30/Constants!$B$8</f>
        <v>12.27576874934225</v>
      </c>
      <c r="I5" s="97">
        <f>G5*Empirical!I4</f>
        <v>12.276187569687815</v>
      </c>
      <c r="J5" s="96">
        <f>IFERROR(G5/Theoretical!G4,NA())</f>
        <v>25.247734352662778</v>
      </c>
      <c r="K5" s="97">
        <f>IFERROR(G5/Empirical!G4,NA())</f>
        <v>15.939995545916789</v>
      </c>
      <c r="L5" s="98"/>
      <c r="N5" s="99" t="s">
        <v>319</v>
      </c>
      <c r="O5" s="100">
        <f>B16</f>
        <v>1888.1486231079998</v>
      </c>
      <c r="P5" s="101">
        <f>O5/SUM(O6:O9)</f>
        <v>0.5441737348371497</v>
      </c>
      <c r="Q5" s="102">
        <f>G16</f>
        <v>3032.0508484800002</v>
      </c>
      <c r="R5" s="101">
        <f>Q5/SUM(Q6:Q9)</f>
        <v>0.87385199143782355</v>
      </c>
      <c r="S5" s="102">
        <f>B16</f>
        <v>1888.1486231079998</v>
      </c>
      <c r="T5" s="101">
        <f>S5/SUM(S6:S9)</f>
        <v>0.5441737348371497</v>
      </c>
      <c r="U5" s="102">
        <f>G16</f>
        <v>3032.0508484800002</v>
      </c>
      <c r="V5" s="101">
        <f>U5/SUM(U6:U9)</f>
        <v>0.87385199143782355</v>
      </c>
      <c r="W5" s="99" t="s">
        <v>320</v>
      </c>
      <c r="X5" s="103" t="s">
        <v>321</v>
      </c>
    </row>
    <row r="6" spans="1:24" ht="14.25" customHeight="1" x14ac:dyDescent="0.35">
      <c r="A6" s="104" t="s">
        <v>291</v>
      </c>
      <c r="B6" s="105">
        <f>Routing!H20</f>
        <v>85.119669829999992</v>
      </c>
      <c r="C6" s="106">
        <f>B6*Parameters!$C$31/Constants!$B$8</f>
        <v>103.17535736969697</v>
      </c>
      <c r="D6" s="83">
        <f>B6*Empirical!E5</f>
        <v>85.119669829999992</v>
      </c>
      <c r="E6" s="106">
        <f>IFERROR(B6/Theoretical!C5,NA())</f>
        <v>878.39004075209164</v>
      </c>
      <c r="F6" s="83">
        <f>IFERROR(B6/Empirical!C5,NA())</f>
        <v>50.696646712328764</v>
      </c>
      <c r="G6" s="105">
        <f>Routing!I20</f>
        <v>29.028582571974027</v>
      </c>
      <c r="H6" s="106">
        <f>G6*Parameters!$D$31/Constants!$B$8</f>
        <v>36.827306248026751</v>
      </c>
      <c r="I6" s="83">
        <f>G6*Empirical!I5</f>
        <v>36.828562709063448</v>
      </c>
      <c r="J6" s="106">
        <f>IFERROR(G6/Theoretical!G5,NA())</f>
        <v>24.890753090994593</v>
      </c>
      <c r="K6" s="83">
        <f>IFERROR(G6/Empirical!G5,NA())</f>
        <v>1.8439358882612076</v>
      </c>
      <c r="L6" s="107"/>
      <c r="N6" s="2" t="s">
        <v>322</v>
      </c>
      <c r="O6" s="108">
        <f>C16*Constants!$B$8</f>
        <v>846.51845819445759</v>
      </c>
      <c r="P6" s="109">
        <f>O6/SUM(O6:O9)</f>
        <v>0.24397078988729309</v>
      </c>
      <c r="Q6" s="110">
        <f>H16*Constants!$B$8</f>
        <v>1459.3640878377876</v>
      </c>
      <c r="R6" s="109">
        <f>Q6/SUM(Q6:Q9)</f>
        <v>0.42059591943492614</v>
      </c>
      <c r="S6" s="110">
        <f>D16*Constants!$B$8</f>
        <v>847.17389375580012</v>
      </c>
      <c r="T6" s="109">
        <f>S6/SUM(S6:S9)</f>
        <v>0.24415968964496881</v>
      </c>
      <c r="U6" s="110">
        <f>I16*Constants!$B$8</f>
        <v>1379.4942647935684</v>
      </c>
      <c r="V6" s="109">
        <f>U6/SUM(U6:U9)</f>
        <v>0.39757704296787538</v>
      </c>
      <c r="W6" s="2" t="s">
        <v>323</v>
      </c>
      <c r="X6" s="111" t="s">
        <v>324</v>
      </c>
    </row>
    <row r="7" spans="1:24" ht="14.25" customHeight="1" x14ac:dyDescent="0.35">
      <c r="A7" s="104" t="s">
        <v>292</v>
      </c>
      <c r="B7" s="105">
        <f>Routing!H21</f>
        <v>37.453224839999983</v>
      </c>
      <c r="C7" s="106">
        <f>B7*Parameters!$C$32/Constants!$B$8</f>
        <v>10.599969294339617</v>
      </c>
      <c r="D7" s="83">
        <f>B7*Empirical!E6</f>
        <v>1.1985031948799996</v>
      </c>
      <c r="E7" s="106">
        <f>IFERROR(B7/Theoretical!C6,NA())</f>
        <v>64.863255477593668</v>
      </c>
      <c r="F7" s="83">
        <f>IFERROR(B7/Empirical!C6,NA())</f>
        <v>6.9863199934712883</v>
      </c>
      <c r="G7" s="105">
        <f>Routing!I21</f>
        <v>311.86479842784001</v>
      </c>
      <c r="H7" s="106">
        <f>G7*Parameters!$D$32/Constants!$B$8</f>
        <v>115.50548089919999</v>
      </c>
      <c r="I7" s="83">
        <f>G7*Empirical!I6</f>
        <v>118.5086234025792</v>
      </c>
      <c r="J7" s="106">
        <f>IFERROR(G7/Theoretical!G6,NA())</f>
        <v>40.507658915840196</v>
      </c>
      <c r="K7" s="83">
        <f>IFERROR(G7/Empirical!G6,NA())</f>
        <v>204.20198742582787</v>
      </c>
      <c r="L7" s="107"/>
      <c r="N7" s="2" t="s">
        <v>325</v>
      </c>
      <c r="O7" s="108">
        <f>O5-O6+Routing!B39</f>
        <v>1075.678032845542</v>
      </c>
      <c r="P7" s="109">
        <f>O7/SUM(O6:O9)</f>
        <v>0.31001570821914859</v>
      </c>
      <c r="Q7" s="110">
        <f>Q5-Q6+Routing!C39</f>
        <v>1572.6867606422127</v>
      </c>
      <c r="R7" s="109">
        <f>Q7/SUM(Q6:Q9)</f>
        <v>0.45325607200289747</v>
      </c>
      <c r="S7" s="110">
        <f>S5-S6+Routing!B39</f>
        <v>1075.0225972841995</v>
      </c>
      <c r="T7" s="109">
        <f>S7/SUM(S6:S9)</f>
        <v>0.30982680846147287</v>
      </c>
      <c r="U7" s="110">
        <f>U5-U6+Routing!C39</f>
        <v>1652.5565836864318</v>
      </c>
      <c r="V7" s="109">
        <f>U7/SUM(U6:U9)</f>
        <v>0.47627494846994822</v>
      </c>
      <c r="W7" s="2" t="s">
        <v>326</v>
      </c>
      <c r="X7" s="111" t="s">
        <v>327</v>
      </c>
    </row>
    <row r="8" spans="1:24" ht="14.25" customHeight="1" x14ac:dyDescent="0.35">
      <c r="A8" s="104" t="s">
        <v>293</v>
      </c>
      <c r="B8" s="105">
        <f>Routing!H22</f>
        <v>388.96524694800001</v>
      </c>
      <c r="C8" s="106">
        <f>B8*Parameters!$C$33/Constants!$B$8</f>
        <v>350.70637019901648</v>
      </c>
      <c r="D8" s="112">
        <f>B8*Empirical!E7</f>
        <v>540.66169325772</v>
      </c>
      <c r="E8" s="106">
        <f>IFERROR(B8/Theoretical!C7,NA())</f>
        <v>726.03181148880026</v>
      </c>
      <c r="F8" s="112">
        <f>IFERROR(B8/Empirical!C7,NA())</f>
        <v>2743.0831722867574</v>
      </c>
      <c r="G8" s="105">
        <f>Routing!I22</f>
        <v>1467.5902632895279</v>
      </c>
      <c r="H8" s="106">
        <f>G8*Parameters!$D$33/Constants!$B$8</f>
        <v>1514.1804303780846</v>
      </c>
      <c r="I8" s="112">
        <f>G8*Empirical!I7</f>
        <v>1514.1128746358061</v>
      </c>
      <c r="J8" s="106">
        <f>IFERROR(G8/Theoretical!G7,NA())</f>
        <v>513.63066450342865</v>
      </c>
      <c r="K8" s="112">
        <f>IFERROR(G8/Empirical!G7,NA())</f>
        <v>744.74945261346545</v>
      </c>
      <c r="L8" s="107"/>
      <c r="N8" s="2" t="s">
        <v>328</v>
      </c>
      <c r="O8" s="108">
        <f>Routing!B37+Routing!B38</f>
        <v>73.436964959999983</v>
      </c>
      <c r="P8" s="109">
        <f>O8/SUM(O6:O9)</f>
        <v>2.1164895076748565E-2</v>
      </c>
      <c r="Q8" s="110">
        <f>Routing!C37+Routing!C38</f>
        <v>273.91137552000009</v>
      </c>
      <c r="R8" s="109">
        <f>Q8/SUM(Q6:Q9)</f>
        <v>7.8942607804753123E-2</v>
      </c>
      <c r="S8" s="110">
        <f>Routing!B37+Routing!B38</f>
        <v>73.436964959999983</v>
      </c>
      <c r="T8" s="109">
        <f>S8/SUM(S6:S9)</f>
        <v>2.1164895076748565E-2</v>
      </c>
      <c r="U8" s="110">
        <f>Routing!C37+Routing!C38</f>
        <v>273.91137552000009</v>
      </c>
      <c r="V8" s="109">
        <f>U8/SUM(U6:U9)</f>
        <v>7.8942607804753123E-2</v>
      </c>
      <c r="W8" s="2" t="s">
        <v>329</v>
      </c>
      <c r="X8" s="111" t="s">
        <v>330</v>
      </c>
    </row>
    <row r="9" spans="1:24" ht="14.25" customHeight="1" x14ac:dyDescent="0.35">
      <c r="A9" s="104" t="s">
        <v>331</v>
      </c>
      <c r="B9" s="105">
        <f>Routing!H23</f>
        <v>166.596912</v>
      </c>
      <c r="C9" s="106">
        <f>B9*Parameters!$C$34/Constants!$B$8</f>
        <v>150.21033049180329</v>
      </c>
      <c r="D9" s="83">
        <f>B9*Empirical!E8</f>
        <v>150.27041462400001</v>
      </c>
      <c r="E9" s="106">
        <f>IFERROR(B9/Theoretical!C8,NA())</f>
        <v>103.65506837852999</v>
      </c>
      <c r="F9" s="83">
        <f>IFERROR(B9/Empirical!C8,NA())</f>
        <v>391.16367324764911</v>
      </c>
      <c r="G9" s="105">
        <f>Routing!I23</f>
        <v>122.11964999999998</v>
      </c>
      <c r="H9" s="106">
        <f>G9*Parameters!$D$34/Constants!$B$8</f>
        <v>125.99646428571428</v>
      </c>
      <c r="I9" s="83">
        <f>G9*Empirical!I8</f>
        <v>147.25187396999996</v>
      </c>
      <c r="J9" s="106">
        <f>IFERROR(G9/Theoretical!G8,NA())</f>
        <v>17.095888013820044</v>
      </c>
      <c r="K9" s="83">
        <f>IFERROR(G9/Empirical!G8,NA())</f>
        <v>43.449627538893921</v>
      </c>
      <c r="L9" s="107"/>
      <c r="N9" s="2" t="s">
        <v>332</v>
      </c>
      <c r="O9" s="108">
        <f>Routing!B36</f>
        <v>1474.1198640000002</v>
      </c>
      <c r="P9" s="109">
        <f>O9/SUM(O6:O9)</f>
        <v>0.42484860681680975</v>
      </c>
      <c r="Q9" s="110">
        <f>Routing!C36</f>
        <v>163.79109599999992</v>
      </c>
      <c r="R9" s="109">
        <f>Q9/SUM(Q6:Q9)</f>
        <v>4.7205400757423271E-2</v>
      </c>
      <c r="S9" s="110">
        <f>Routing!B36</f>
        <v>1474.1198640000002</v>
      </c>
      <c r="T9" s="109">
        <f>S9/SUM(S6:S9)</f>
        <v>0.42484860681680975</v>
      </c>
      <c r="U9" s="110">
        <f>Routing!C36</f>
        <v>163.79109599999992</v>
      </c>
      <c r="V9" s="109">
        <f>U9/SUM(U6:U9)</f>
        <v>4.7205400757423271E-2</v>
      </c>
      <c r="W9" s="2" t="s">
        <v>333</v>
      </c>
      <c r="X9" s="111" t="s">
        <v>334</v>
      </c>
    </row>
    <row r="10" spans="1:24" ht="14.25" customHeight="1" x14ac:dyDescent="0.35">
      <c r="A10" s="104" t="s">
        <v>335</v>
      </c>
      <c r="B10" s="105">
        <f>Routing!H24</f>
        <v>25.709400000000002</v>
      </c>
      <c r="C10" s="106">
        <f>B10*Parameters!$C$34/Constants!$B$8</f>
        <v>23.180606557377054</v>
      </c>
      <c r="D10" s="83">
        <f>B10*Empirical!E9</f>
        <v>0</v>
      </c>
      <c r="E10" s="106">
        <f>IFERROR(B10/Theoretical!C9,NA())</f>
        <v>15.996152527550926</v>
      </c>
      <c r="F10" s="83" t="e">
        <f>IFERROR(B10/Empirical!C9,NA())</f>
        <v>#N/A</v>
      </c>
      <c r="G10" s="105">
        <f>Routing!I24</f>
        <v>42.848999999999997</v>
      </c>
      <c r="H10" s="106">
        <f>G10*Parameters!$D$34/Constants!$B$8</f>
        <v>44.209285714285713</v>
      </c>
      <c r="I10" s="83">
        <f>G10*Empirical!I9</f>
        <v>0</v>
      </c>
      <c r="J10" s="106">
        <f>IFERROR(G10/Theoretical!G9,NA())</f>
        <v>5.9985571978315955</v>
      </c>
      <c r="K10" s="83" t="e">
        <f>IFERROR(G10/Empirical!G9,NA())</f>
        <v>#N/A</v>
      </c>
      <c r="L10" s="107"/>
      <c r="N10" s="113" t="s">
        <v>336</v>
      </c>
      <c r="O10" s="114">
        <f>O8+O9</f>
        <v>1547.5568289600003</v>
      </c>
      <c r="P10" s="115">
        <f>O10/SUM(O6:O9)</f>
        <v>0.44601350189355837</v>
      </c>
      <c r="Q10" s="116">
        <f>Q8+Q9</f>
        <v>437.70247152000002</v>
      </c>
      <c r="R10" s="115">
        <f>Q10/SUM(Q6:Q9)</f>
        <v>0.12614800856217639</v>
      </c>
      <c r="S10" s="116">
        <f>S8+S9</f>
        <v>1547.5568289600003</v>
      </c>
      <c r="T10" s="115">
        <f>S10/SUM(S6:S9)</f>
        <v>0.44601350189355837</v>
      </c>
      <c r="U10" s="116">
        <f>U8+U9</f>
        <v>437.70247152000002</v>
      </c>
      <c r="V10" s="115">
        <f>U10/SUM(U6:U9)</f>
        <v>0.12614800856217639</v>
      </c>
      <c r="W10" s="113" t="s">
        <v>337</v>
      </c>
      <c r="X10" s="117" t="s">
        <v>338</v>
      </c>
    </row>
    <row r="11" spans="1:24" ht="14.25" customHeight="1" x14ac:dyDescent="0.35">
      <c r="A11" s="104" t="s">
        <v>296</v>
      </c>
      <c r="B11" s="105">
        <f>Routing!H25</f>
        <v>8.5698000000000008</v>
      </c>
      <c r="C11" s="106">
        <f>B11*(Parameters!$C$34/Constants!$B$8)*(1+Parameters!$C$37)</f>
        <v>8.8858991803278702</v>
      </c>
      <c r="D11" s="112">
        <f>B11*Empirical!E9*(1+Parameters!$C$37)</f>
        <v>0</v>
      </c>
      <c r="E11" s="106">
        <f>IFERROR(B11/Theoretical!C10,NA())</f>
        <v>5.3320508425169759</v>
      </c>
      <c r="F11" s="112" t="e">
        <f>IFERROR(B11/Empirical!C9,NA())</f>
        <v>#N/A</v>
      </c>
      <c r="G11" s="105">
        <f>Routing!I25</f>
        <v>128.547</v>
      </c>
      <c r="H11" s="106">
        <f>G11*(Parameters!$D$34/Constants!$B$8)*(1+Parameters!$D$37)</f>
        <v>179.04760714285717</v>
      </c>
      <c r="I11" s="112">
        <f>G11*Empirical!I9*(1+Parameters!$D$37)</f>
        <v>0</v>
      </c>
      <c r="J11" s="106">
        <f>IFERROR(G11/Theoretical!G10,NA())</f>
        <v>17.995671593494787</v>
      </c>
      <c r="K11" s="112" t="e">
        <f>IFERROR(G11/Empirical!G9,NA())</f>
        <v>#N/A</v>
      </c>
      <c r="L11" s="107"/>
      <c r="N11" s="9" t="s">
        <v>339</v>
      </c>
      <c r="O11" s="37" t="str">
        <f>IF(ABS(ROUND(SUM(O6:O9),0)-ROUND(Inputs!$C$12,0))=0,"OK","VIOLATION")</f>
        <v>OK</v>
      </c>
      <c r="P11" s="109" t="str">
        <f>IF(ABS(ROUND(SUM(P6:P9),0)-ROUND(SUM(P5+P10),0))=0,"OK","VIOLATION")</f>
        <v>OK</v>
      </c>
      <c r="Q11" s="37" t="str">
        <f>IF(ABS(ROUND(SUM(Q6:Q9),0)-ROUND(Inputs!$C$12,0))=0,"OK","VIOLATION")</f>
        <v>OK</v>
      </c>
      <c r="R11" s="109" t="str">
        <f>IF(ABS(ROUND(SUM(R6:R9),0)-ROUND(SUM(R5+R10),0))=0,"OK","VIOLATION")</f>
        <v>OK</v>
      </c>
      <c r="S11" s="37" t="str">
        <f>IF(ABS(ROUND(SUM(S6:S9),0)-ROUND(Inputs!$C$12,0))=0,"OK","VIOLATION")</f>
        <v>OK</v>
      </c>
      <c r="T11" s="109" t="str">
        <f>IF(ABS(ROUND(SUM(T6:T9),0)-ROUND(SUM(T5+T10),0))=0,"OK","VIOLATION")</f>
        <v>OK</v>
      </c>
      <c r="U11" s="37" t="str">
        <f>IF(ABS(ROUND(SUM(U6:U9),0)-ROUND(Inputs!$C$12,0))=0,"OK","VIOLATION")</f>
        <v>OK</v>
      </c>
      <c r="V11" s="109" t="str">
        <f>IF(ABS(ROUND(SUM(V6:V9),0)-ROUND(SUM(V5+V10),0))=0,"OK","VIOLATION")</f>
        <v>OK</v>
      </c>
    </row>
    <row r="12" spans="1:24" ht="14.25" customHeight="1" x14ac:dyDescent="0.35">
      <c r="A12" s="104" t="s">
        <v>297</v>
      </c>
      <c r="B12" s="105" t="e">
        <f>NA()</f>
        <v>#N/A</v>
      </c>
      <c r="C12" s="106">
        <v>0</v>
      </c>
      <c r="D12" s="112" t="e">
        <f>B12*Empirical!E11</f>
        <v>#N/A</v>
      </c>
      <c r="E12" s="106">
        <f>IFERROR(Routing!B20/Theoretical!C11,NA())</f>
        <v>1690.4810958904109</v>
      </c>
      <c r="F12" s="112">
        <f>IFERROR(Routing!B20/Empirical!C11,NA())</f>
        <v>347.83561643835611</v>
      </c>
      <c r="G12" s="105" t="e">
        <f>NA()</f>
        <v>#N/A</v>
      </c>
      <c r="H12" s="106">
        <v>0</v>
      </c>
      <c r="I12" s="112" t="e">
        <f>G12*Empirical!I11</f>
        <v>#N/A</v>
      </c>
      <c r="J12" s="106">
        <f>IFERROR(Routing!C20/Theoretical!G11,NA())</f>
        <v>234.78904109589041</v>
      </c>
      <c r="K12" s="112">
        <f>IFERROR(Routing!C20/Empirical!G11,NA())</f>
        <v>52.175342465753417</v>
      </c>
      <c r="L12" s="107"/>
    </row>
    <row r="13" spans="1:24" ht="14.25" customHeight="1" x14ac:dyDescent="0.35">
      <c r="A13" s="104" t="s">
        <v>298</v>
      </c>
      <c r="B13" s="105">
        <f>Routing!H26</f>
        <v>614.24306000000001</v>
      </c>
      <c r="C13" s="106">
        <f>B13*Parameters!$C$35/Constants!$B$8</f>
        <v>511.86921666666672</v>
      </c>
      <c r="D13" s="112">
        <f>B13*Empirical!E12</f>
        <v>565.10361520000004</v>
      </c>
      <c r="E13" s="106">
        <f>IFERROR(B13/Theoretical!C12,NA())</f>
        <v>1529.8706351183062</v>
      </c>
      <c r="F13" s="112">
        <f>IFERROR(B13/Empirical!C12,NA())</f>
        <v>2345.8016405147368</v>
      </c>
      <c r="G13" s="105">
        <f>Routing!I26</f>
        <v>614.24306000000001</v>
      </c>
      <c r="H13" s="106">
        <f>G13*Parameters!$D$35/Constants!$B$8</f>
        <v>594.42876774193542</v>
      </c>
      <c r="I13" s="112">
        <f>G13*Empirical!I12</f>
        <v>755.51896380000005</v>
      </c>
      <c r="J13" s="106">
        <f>IFERROR(G13/Theoretical!G12,NA())</f>
        <v>210.25776608804981</v>
      </c>
      <c r="K13" s="112">
        <f>IFERROR(G13/Empirical!G12,NA())</f>
        <v>344.98582821917807</v>
      </c>
      <c r="L13" s="107"/>
    </row>
    <row r="14" spans="1:24" ht="14.25" customHeight="1" x14ac:dyDescent="0.35">
      <c r="A14" s="104" t="s">
        <v>299</v>
      </c>
      <c r="B14" s="105">
        <f>Routing!H27</f>
        <v>225.59205000000003</v>
      </c>
      <c r="C14" s="106">
        <f>B14*Parameters!$C$35/Constants!$B$8</f>
        <v>187.99337500000004</v>
      </c>
      <c r="D14" s="112">
        <f>B14*Empirical!E13</f>
        <v>44.283719415000007</v>
      </c>
      <c r="E14" s="106">
        <f>IFERROR(B14/Theoretical!C13,NA())</f>
        <v>1329.1621741051704</v>
      </c>
      <c r="F14" s="112">
        <f>IFERROR(B14/Empirical!C13,NA())</f>
        <v>3466.4359620352247</v>
      </c>
      <c r="G14" s="105">
        <f>Routing!I27</f>
        <v>225.59205000000003</v>
      </c>
      <c r="H14" s="106">
        <f>G14*Parameters!$D$35/Constants!$B$8</f>
        <v>218.31488709677421</v>
      </c>
      <c r="I14" s="112">
        <f>G14*Empirical!I13</f>
        <v>117.30786600000002</v>
      </c>
      <c r="J14" s="106">
        <f>IFERROR(G14/Theoretical!G13,NA())</f>
        <v>82.353591619263014</v>
      </c>
      <c r="K14" s="112">
        <f>IFERROR(G14/Empirical!G13,NA())</f>
        <v>3807.9551386093617</v>
      </c>
      <c r="L14" s="107"/>
    </row>
    <row r="15" spans="1:24" ht="14.25" customHeight="1" x14ac:dyDescent="0.35">
      <c r="A15" s="118" t="s">
        <v>300</v>
      </c>
      <c r="B15" s="119">
        <f>Routing!H28</f>
        <v>80.54025</v>
      </c>
      <c r="C15" s="120">
        <f>B15*Parameters!$C$35/Constants!$B$8</f>
        <v>67.116875000000007</v>
      </c>
      <c r="D15" s="121">
        <f>B15*Empirical!E14</f>
        <v>52.351162500000001</v>
      </c>
      <c r="E15" s="120">
        <f>IFERROR(B15/Theoretical!C14,NA())</f>
        <v>2372.6690234202383</v>
      </c>
      <c r="F15" s="121">
        <f>IFERROR(B15/Empirical!C14,NA())</f>
        <v>14342.784246575344</v>
      </c>
      <c r="G15" s="119">
        <f>Routing!I28</f>
        <v>80.54025</v>
      </c>
      <c r="H15" s="120">
        <f>G15*Parameters!$D$35/Constants!$B$8</f>
        <v>77.942177419354834</v>
      </c>
      <c r="I15" s="121">
        <f>G15*Empirical!I14</f>
        <v>57.183577499999998</v>
      </c>
      <c r="J15" s="120">
        <f>IFERROR(G15/Theoretical!G14,NA())</f>
        <v>147.00825799077023</v>
      </c>
      <c r="K15" s="112">
        <f>IFERROR(G15/Empirical!G14,NA())</f>
        <v>203.4640722291407</v>
      </c>
      <c r="L15" s="107"/>
    </row>
    <row r="16" spans="1:24" ht="14.25" customHeight="1" x14ac:dyDescent="0.35">
      <c r="A16" s="123" t="s">
        <v>340</v>
      </c>
      <c r="B16" s="124">
        <f t="shared" ref="B16:K16" si="0">_xlfn.AGGREGATE(9,6,B5:B15)</f>
        <v>1888.1486231079998</v>
      </c>
      <c r="C16" s="125">
        <f t="shared" si="0"/>
        <v>1693.0369163889152</v>
      </c>
      <c r="D16" s="126">
        <f t="shared" si="0"/>
        <v>1694.3477875116002</v>
      </c>
      <c r="E16" s="125">
        <f t="shared" si="0"/>
        <v>13380.542805535455</v>
      </c>
      <c r="F16" s="126">
        <f t="shared" si="0"/>
        <v>25585.63518220964</v>
      </c>
      <c r="G16" s="124">
        <f t="shared" si="0"/>
        <v>3032.0508484800002</v>
      </c>
      <c r="H16" s="125">
        <f t="shared" si="0"/>
        <v>2918.7281756755751</v>
      </c>
      <c r="I16" s="126">
        <f t="shared" si="0"/>
        <v>2758.9885295871368</v>
      </c>
      <c r="J16" s="125">
        <f t="shared" si="0"/>
        <v>1319.775584462046</v>
      </c>
      <c r="K16" s="127">
        <f t="shared" si="0"/>
        <v>5418.7653805357986</v>
      </c>
      <c r="L16" s="122" t="s">
        <v>341</v>
      </c>
    </row>
    <row r="18" spans="1:2" ht="14.25" customHeight="1" x14ac:dyDescent="0.35">
      <c r="A18" s="9" t="s">
        <v>301</v>
      </c>
    </row>
    <row r="19" spans="1:2" ht="14.25" customHeight="1" x14ac:dyDescent="0.35">
      <c r="A19" s="9" t="s">
        <v>302</v>
      </c>
    </row>
    <row r="20" spans="1:2" ht="14.25" customHeight="1" x14ac:dyDescent="0.35">
      <c r="A20" s="3" t="s">
        <v>303</v>
      </c>
    </row>
    <row r="21" spans="1:2" ht="14.25" customHeight="1" x14ac:dyDescent="0.35">
      <c r="A21" s="9" t="s">
        <v>304</v>
      </c>
    </row>
    <row r="22" spans="1:2" ht="14.25" customHeight="1" x14ac:dyDescent="0.35">
      <c r="B22" s="37"/>
    </row>
  </sheetData>
  <mergeCells count="14">
    <mergeCell ref="Q4:R4"/>
    <mergeCell ref="S4:T4"/>
    <mergeCell ref="U4:V4"/>
    <mergeCell ref="C4:D4"/>
    <mergeCell ref="E4:F4"/>
    <mergeCell ref="H4:I4"/>
    <mergeCell ref="J4:K4"/>
    <mergeCell ref="O4:P4"/>
    <mergeCell ref="A1:L1"/>
    <mergeCell ref="N1:X1"/>
    <mergeCell ref="A2:L2"/>
    <mergeCell ref="N2:X2"/>
    <mergeCell ref="O3:R3"/>
    <mergeCell ref="S3:V3"/>
  </mergeCells>
  <pageMargins left="0.7" right="0.7" top="0.75" bottom="0.75" header="0.511811023622047" footer="0.511811023622047"/>
  <pageSetup paperSize="9" orientation="portrait" horizontalDpi="300" verticalDpi="300"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9"/>
  <sheetViews>
    <sheetView tabSelected="1" zoomScaleNormal="100" workbookViewId="0">
      <pane xSplit="1" ySplit="3" topLeftCell="B4" activePane="bottomRight" state="frozen"/>
      <selection pane="topRight" activeCell="B1" sqref="B1"/>
      <selection pane="bottomLeft" activeCell="A4" sqref="A4"/>
      <selection pane="bottomRight" activeCell="A15" sqref="A15"/>
    </sheetView>
  </sheetViews>
  <sheetFormatPr defaultColWidth="8.6328125" defaultRowHeight="14.5" x14ac:dyDescent="0.35"/>
  <cols>
    <col min="1" max="1" width="36" style="136" customWidth="1"/>
    <col min="2" max="2" width="17" style="136" customWidth="1"/>
    <col min="3" max="4" width="12" style="136" customWidth="1"/>
    <col min="5" max="9" width="14" style="136" customWidth="1"/>
    <col min="10" max="11" width="12" style="136" customWidth="1"/>
    <col min="12" max="13" width="14" style="136" customWidth="1"/>
    <col min="14" max="15" width="12" style="136" customWidth="1"/>
    <col min="16" max="16384" width="8.6328125" style="136"/>
  </cols>
  <sheetData>
    <row r="1" spans="1:15" ht="15.5" x14ac:dyDescent="0.35">
      <c r="A1" s="196" t="s">
        <v>342</v>
      </c>
      <c r="B1" s="197"/>
      <c r="C1" s="197"/>
      <c r="D1" s="197"/>
      <c r="E1" s="197"/>
      <c r="F1" s="197"/>
      <c r="G1" s="197"/>
      <c r="H1" s="197"/>
      <c r="I1" s="198"/>
    </row>
    <row r="2" spans="1:15" x14ac:dyDescent="0.35">
      <c r="A2" s="128" t="s">
        <v>255</v>
      </c>
      <c r="B2" s="129"/>
      <c r="C2" s="129"/>
      <c r="D2" s="129"/>
      <c r="E2" s="191" t="s">
        <v>78</v>
      </c>
      <c r="F2" s="192"/>
      <c r="G2" s="191" t="s">
        <v>79</v>
      </c>
      <c r="H2" s="192"/>
      <c r="I2" s="130"/>
    </row>
    <row r="3" spans="1:15" x14ac:dyDescent="0.35">
      <c r="A3" s="131" t="s">
        <v>286</v>
      </c>
      <c r="B3" s="132" t="s">
        <v>343</v>
      </c>
      <c r="C3" s="132" t="s">
        <v>344</v>
      </c>
      <c r="D3" s="132" t="s">
        <v>345</v>
      </c>
      <c r="E3" s="133" t="s">
        <v>346</v>
      </c>
      <c r="F3" s="134" t="s">
        <v>347</v>
      </c>
      <c r="G3" s="133" t="s">
        <v>346</v>
      </c>
      <c r="H3" s="134" t="s">
        <v>347</v>
      </c>
      <c r="I3" s="134" t="s">
        <v>63</v>
      </c>
    </row>
    <row r="4" spans="1:15" x14ac:dyDescent="0.35">
      <c r="A4" s="137" t="str">
        <f>Empirical!A19</f>
        <v>CO2 | Photoautotroph (aerobic)</v>
      </c>
      <c r="B4" s="149" t="s">
        <v>64</v>
      </c>
      <c r="C4" s="150">
        <v>1000</v>
      </c>
      <c r="D4" s="151">
        <f>Inputs!$C$3</f>
        <v>365</v>
      </c>
      <c r="E4" s="152">
        <f>IFERROR($C4*Theoretical!F4/1000*$D4,0)</f>
        <v>54.75</v>
      </c>
      <c r="F4" s="153">
        <f>IFERROR($C4*Empirical!F4/1000*$D4,0)</f>
        <v>135.05000000000001</v>
      </c>
      <c r="G4" s="152">
        <f>IFERROR($C4*Theoretical!J4/1000*$D4,0)</f>
        <v>383.25</v>
      </c>
      <c r="H4" s="153">
        <f>IFERROR($C4*Empirical!J4/1000*$D4,0)</f>
        <v>607.03870103255304</v>
      </c>
      <c r="I4" s="154" t="s">
        <v>348</v>
      </c>
    </row>
    <row r="5" spans="1:15" x14ac:dyDescent="0.35">
      <c r="A5" s="137" t="str">
        <f>Empirical!A20</f>
        <v>CO2 | Lithoautotroph (aerobic)</v>
      </c>
      <c r="B5" s="149" t="s">
        <v>64</v>
      </c>
      <c r="C5" s="150">
        <v>50</v>
      </c>
      <c r="D5" s="151">
        <f>Inputs!$C$3</f>
        <v>365</v>
      </c>
      <c r="E5" s="152">
        <f>IFERROR($C5*Theoretical!F5/1000*$D5,0)</f>
        <v>4.8452091827634556</v>
      </c>
      <c r="F5" s="153">
        <f>IFERROR($C5*Empirical!F5/1000*$D5,0)</f>
        <v>83.949999999999989</v>
      </c>
      <c r="G5" s="152">
        <f>IFERROR($C5*Theoretical!J5/1000*$D5,0)</f>
        <v>58.311981292515597</v>
      </c>
      <c r="H5" s="153">
        <f>IFERROR($C5*Empirical!J5/1000*$D5,0)</f>
        <v>787.13643887443823</v>
      </c>
      <c r="I5" s="154" t="s">
        <v>349</v>
      </c>
    </row>
    <row r="6" spans="1:15" x14ac:dyDescent="0.35">
      <c r="A6" s="137" t="str">
        <f>Empirical!A21</f>
        <v>CO | Lithoautotroph (anaerobic)</v>
      </c>
      <c r="B6" s="149" t="s">
        <v>268</v>
      </c>
      <c r="C6" s="150">
        <v>10</v>
      </c>
      <c r="D6" s="151">
        <f>Inputs!$C$3</f>
        <v>365</v>
      </c>
      <c r="E6" s="152">
        <f>IFERROR($C6*Theoretical!F6/1000*$D6,0)</f>
        <v>5.7741820949671281</v>
      </c>
      <c r="F6" s="153">
        <f>IFERROR($C6*Empirical!F6/1000*$D6,0)</f>
        <v>53.609374999999993</v>
      </c>
      <c r="G6" s="152">
        <f>IFERROR($C6*Theoretical!J6/1000*$D6,0)</f>
        <v>76.989094599561696</v>
      </c>
      <c r="H6" s="153">
        <f>IFERROR($C6*Empirical!J6/1000*$D6,0)</f>
        <v>15.272368421052629</v>
      </c>
      <c r="I6" s="155"/>
    </row>
    <row r="7" spans="1:15" x14ac:dyDescent="0.35">
      <c r="A7" s="137" t="str">
        <f>Empirical!A22</f>
        <v>CH4 | Methanotroph (aerobic)</v>
      </c>
      <c r="B7" s="149" t="s">
        <v>271</v>
      </c>
      <c r="C7" s="150">
        <v>1000</v>
      </c>
      <c r="D7" s="151">
        <f>Inputs!$C$3</f>
        <v>365</v>
      </c>
      <c r="E7" s="152">
        <f>IFERROR($C7*Theoretical!F7/1000*$D7,0)</f>
        <v>535.74132812498704</v>
      </c>
      <c r="F7" s="153">
        <f>IFERROR($C7*Empirical!F7/1000*$D7,0)</f>
        <v>141.79856115107916</v>
      </c>
      <c r="G7" s="152">
        <f>IFERROR($C7*Theoretical!J7/1000*$D7,0)</f>
        <v>2857.287083333264</v>
      </c>
      <c r="H7" s="153">
        <f>IFERROR($C7*Empirical!J7/1000*$D7,0)</f>
        <v>1970.582533682272</v>
      </c>
      <c r="I7" s="155"/>
    </row>
    <row r="8" spans="1:15" x14ac:dyDescent="0.35">
      <c r="A8" s="137" t="str">
        <f>Empirical!A23</f>
        <v>VFAs | Heterotroph (aerobic)</v>
      </c>
      <c r="B8" s="149" t="s">
        <v>189</v>
      </c>
      <c r="C8" s="150">
        <v>400</v>
      </c>
      <c r="D8" s="151">
        <f>Inputs!$C$3</f>
        <v>365</v>
      </c>
      <c r="E8" s="152">
        <f>IFERROR($C8*Theoretical!F8/1000*$D8,0)</f>
        <v>642.88959374998444</v>
      </c>
      <c r="F8" s="153">
        <f>IFERROR($C8*Empirical!F8/1000*$D8,0)</f>
        <v>170.36031042128602</v>
      </c>
      <c r="G8" s="152">
        <f>IFERROR($C8*Theoretical!J8/1000*$D8,0)</f>
        <v>2857.287083333264</v>
      </c>
      <c r="H8" s="153">
        <f>IFERROR($C8*Empirical!J8/1000*$D8,0)</f>
        <v>1124.2411676895008</v>
      </c>
      <c r="I8" s="155"/>
    </row>
    <row r="9" spans="1:15" x14ac:dyDescent="0.35">
      <c r="A9" s="137" t="str">
        <f>Empirical!A24</f>
        <v>Wet_Organics | Heterotroph (aerobic)</v>
      </c>
      <c r="B9" s="149" t="s">
        <v>66</v>
      </c>
      <c r="C9" s="150">
        <v>200</v>
      </c>
      <c r="D9" s="151">
        <f>Inputs!$C$3</f>
        <v>365</v>
      </c>
      <c r="E9" s="152">
        <f>IFERROR($C9*Theoretical!F9/1000*$D9,0)</f>
        <v>321.44479687499222</v>
      </c>
      <c r="F9" s="153">
        <f>IFERROR($C9*Empirical!F9/1000*$D9,0)</f>
        <v>0</v>
      </c>
      <c r="G9" s="152">
        <f>IFERROR($C9*Theoretical!J9/1000*$D9,0)</f>
        <v>1428.643541666632</v>
      </c>
      <c r="H9" s="153">
        <f>IFERROR($C9*Empirical!J9/1000*$D9,0)</f>
        <v>0</v>
      </c>
      <c r="I9" s="154" t="s">
        <v>350</v>
      </c>
    </row>
    <row r="10" spans="1:15" x14ac:dyDescent="0.35">
      <c r="A10" s="137" t="str">
        <f>Empirical!A26</f>
        <v>Wet_Organics | Heterotroph (anaerobic)</v>
      </c>
      <c r="B10" s="149" t="s">
        <v>351</v>
      </c>
      <c r="C10" s="150">
        <v>350</v>
      </c>
      <c r="D10" s="151">
        <f>Inputs!$C$3</f>
        <v>365</v>
      </c>
      <c r="E10" s="152">
        <f>IFERROR($C10*Theoretical!F11/1000*$D10,0)</f>
        <v>63.874999999999993</v>
      </c>
      <c r="F10" s="153">
        <f>IFERROR($C10*Empirical!F11/1000*$D10,0)</f>
        <v>310.4325</v>
      </c>
      <c r="G10" s="152">
        <f>IFERROR($C10*Theoretical!J11/1000*$D10,0)</f>
        <v>255.49999999999997</v>
      </c>
      <c r="H10" s="153">
        <f>IFERROR($C10*Empirical!J11/1000*$D10,0)</f>
        <v>1149.75</v>
      </c>
      <c r="I10" s="154" t="s">
        <v>352</v>
      </c>
    </row>
    <row r="11" spans="1:15" x14ac:dyDescent="0.35">
      <c r="A11" s="137" t="str">
        <f>Empirical!A27</f>
        <v>Cellulose | Enzymatic</v>
      </c>
      <c r="B11" s="149" t="s">
        <v>68</v>
      </c>
      <c r="C11" s="150">
        <v>1000</v>
      </c>
      <c r="D11" s="151">
        <f>Inputs!$C$3</f>
        <v>365</v>
      </c>
      <c r="E11" s="152">
        <f>IFERROR($C11*Theoretical!F12/1000*$D11,0)</f>
        <v>401.50000000000006</v>
      </c>
      <c r="F11" s="153">
        <f>IFERROR($C11*Empirical!F12/1000*$D11,0)</f>
        <v>261.8478260869565</v>
      </c>
      <c r="G11" s="152">
        <f>IFERROR($C11*Theoretical!J12/1000*$D11,0)</f>
        <v>2921.381081081081</v>
      </c>
      <c r="H11" s="153">
        <f>IFERROR($C11*Empirical!J12/1000*$D11,0)</f>
        <v>1780.4878048780488</v>
      </c>
      <c r="I11" s="155"/>
    </row>
    <row r="12" spans="1:15" x14ac:dyDescent="0.35">
      <c r="A12" s="137" t="str">
        <f>Empirical!A28</f>
        <v>Polyesters | Biochemical</v>
      </c>
      <c r="B12" s="149" t="s">
        <v>70</v>
      </c>
      <c r="C12" s="150">
        <v>1000</v>
      </c>
      <c r="D12" s="151">
        <f>Inputs!$C$3</f>
        <v>365</v>
      </c>
      <c r="E12" s="152">
        <f>IFERROR($C12*Theoretical!F13/1000*$D12,0)</f>
        <v>169.72499999999999</v>
      </c>
      <c r="F12" s="153">
        <f>IFERROR($C12*Empirical!F13/1000*$D12,0)</f>
        <v>65.078960774325026</v>
      </c>
      <c r="G12" s="152">
        <f>IFERROR($C12*Theoretical!J13/1000*$D12,0)</f>
        <v>2739.3104000000003</v>
      </c>
      <c r="H12" s="153">
        <f>IFERROR($C12*Empirical!J13/1000*$D12,0)</f>
        <v>59.242307692307698</v>
      </c>
      <c r="I12" s="154" t="s">
        <v>353</v>
      </c>
    </row>
    <row r="13" spans="1:15" x14ac:dyDescent="0.35">
      <c r="A13" s="137" t="str">
        <f>Empirical!A29</f>
        <v>Polyamides | Biochemical</v>
      </c>
      <c r="B13" s="149" t="s">
        <v>72</v>
      </c>
      <c r="C13" s="150">
        <v>1000</v>
      </c>
      <c r="D13" s="151">
        <f>Inputs!$C$3</f>
        <v>365</v>
      </c>
      <c r="E13" s="152">
        <f>IFERROR($C13*Theoretical!F14/1000*$D13,0)</f>
        <v>33.945</v>
      </c>
      <c r="F13" s="153">
        <f>IFERROR($C13*Empirical!F14/1000*$D13,0)</f>
        <v>5.615384615384615</v>
      </c>
      <c r="G13" s="152">
        <f>IFERROR($C13*Theoretical!J14/1000*$D13,0)</f>
        <v>547.86207999999999</v>
      </c>
      <c r="H13" s="153">
        <f>IFERROR($C13*Empirical!J14/1000*$D13,0)</f>
        <v>395.84507042253523</v>
      </c>
      <c r="I13" s="154" t="s">
        <v>354</v>
      </c>
    </row>
    <row r="14" spans="1:15" x14ac:dyDescent="0.35">
      <c r="A14" s="143" t="s">
        <v>340</v>
      </c>
      <c r="B14" s="145"/>
      <c r="C14" s="156">
        <f>SUMIF(C4:C13,"&lt;1E307")</f>
        <v>6010.0</v>
      </c>
      <c r="D14" s="145"/>
      <c r="E14" s="157">
        <f>SUMIF(E4:E13,"&lt;1E307")</f>
        <v>2234.49011002769</v>
      </c>
      <c r="F14" s="158">
        <f>SUMIF(F4:F13,"&lt;1E307")</f>
        <v>1227.74291804903</v>
      </c>
      <c r="G14" s="157">
        <f>SUMIF(G4:G13,"&lt;1E307")</f>
        <v>14125.8223453063</v>
      </c>
      <c r="H14" s="158">
        <f>SUMIF(H4:H13,"&lt;1E307")</f>
        <v>7889.59639269271</v>
      </c>
      <c r="I14" s="159"/>
    </row>
    <row r="16" spans="1:15" ht="15.5" x14ac:dyDescent="0.35">
      <c r="A16" s="196" t="s">
        <v>355</v>
      </c>
      <c r="B16" s="197"/>
      <c r="C16" s="197"/>
      <c r="D16" s="197"/>
      <c r="E16" s="197"/>
      <c r="F16" s="197"/>
      <c r="G16" s="197"/>
      <c r="H16" s="197"/>
      <c r="I16" s="197"/>
      <c r="J16" s="197"/>
      <c r="K16" s="197"/>
      <c r="L16" s="197"/>
      <c r="M16" s="197"/>
      <c r="N16" s="197"/>
      <c r="O16" s="198"/>
    </row>
    <row r="17" spans="1:15" x14ac:dyDescent="0.35">
      <c r="A17" s="135" t="s">
        <v>255</v>
      </c>
      <c r="B17" s="193" t="s">
        <v>78</v>
      </c>
      <c r="C17" s="194"/>
      <c r="D17" s="194"/>
      <c r="E17" s="194"/>
      <c r="F17" s="194"/>
      <c r="G17" s="194"/>
      <c r="H17" s="195"/>
      <c r="I17" s="193" t="s">
        <v>79</v>
      </c>
      <c r="J17" s="194"/>
      <c r="K17" s="194"/>
      <c r="L17" s="194"/>
      <c r="M17" s="194"/>
      <c r="N17" s="194"/>
      <c r="O17" s="195"/>
    </row>
    <row r="18" spans="1:15" x14ac:dyDescent="0.35">
      <c r="A18" s="131" t="s">
        <v>286</v>
      </c>
      <c r="B18" s="133" t="s">
        <v>287</v>
      </c>
      <c r="C18" s="132" t="s">
        <v>356</v>
      </c>
      <c r="D18" s="132" t="s">
        <v>357</v>
      </c>
      <c r="E18" s="132" t="s">
        <v>358</v>
      </c>
      <c r="F18" s="132" t="s">
        <v>359</v>
      </c>
      <c r="G18" s="132" t="s">
        <v>360</v>
      </c>
      <c r="H18" s="134" t="s">
        <v>361</v>
      </c>
      <c r="I18" s="133" t="s">
        <v>287</v>
      </c>
      <c r="J18" s="132" t="s">
        <v>356</v>
      </c>
      <c r="K18" s="132" t="s">
        <v>357</v>
      </c>
      <c r="L18" s="132" t="s">
        <v>358</v>
      </c>
      <c r="M18" s="132" t="s">
        <v>359</v>
      </c>
      <c r="N18" s="132" t="s">
        <v>360</v>
      </c>
      <c r="O18" s="134" t="s">
        <v>361</v>
      </c>
    </row>
    <row r="19" spans="1:15" x14ac:dyDescent="0.35">
      <c r="A19" s="137" t="str">
        <f>Empirical!A19</f>
        <v>CO2 | Photoautotroph (aerobic)</v>
      </c>
      <c r="B19" s="138">
        <f>IFERROR(Empirical!B19,0)</f>
        <v>255.35900948999998</v>
      </c>
      <c r="C19" s="139">
        <f>SUMIF($B$4:$B$13,$B4,$B$19:$B$28)</f>
        <v>340.47867931999997</v>
      </c>
      <c r="D19" s="140">
        <f>IF(SUMIF($B$4:$B$13,$B4,$E$4:$E$13)=0,NA(),MIN(E4,$C19*E4/SUMIF($B$4:$B$13,$B4,$E$4:$E$13)))</f>
        <v>54.75</v>
      </c>
      <c r="E19" s="140">
        <f>IF(SUMIF($B$4:$B$13,$B4,$F$4:$F$13)=0,NA(),MIN(F4,$C19*F4/SUMIF($B$4:$B$13,$B4,$F$4:$F$13)))</f>
        <v>135.05000000000001</v>
      </c>
      <c r="F19" s="141">
        <f t="shared" ref="F19:F28" si="0">IFERROR($B19/$C19,NA())</f>
        <v>0.75</v>
      </c>
      <c r="G19" s="141">
        <f t="shared" ref="G19:G28" si="1">IFERROR(D19/$C19,NA())</f>
        <v>0.16080302035165919</v>
      </c>
      <c r="H19" s="142">
        <f t="shared" ref="H19:H28" si="2">IFERROR(E19/$C19,NA())</f>
        <v>0.39664745020075937</v>
      </c>
      <c r="I19" s="138">
        <f>IFERROR(Empirical!E19,0)</f>
        <v>9.6761941906580091</v>
      </c>
      <c r="J19" s="139">
        <f>SUMIF($B$4:$B$13,$B4,$I$19:$I$28)</f>
        <v>38.704776762632036</v>
      </c>
      <c r="K19" s="140">
        <f>IF(SUMIF($B$4:$B$13,$B4,$G$4:$G$13)=0,NA(),MIN(G4,$J19*G4/SUMIF($B$4:$B$13,$B4,$G$4:$G$13)))</f>
        <v>33.5934847716251</v>
      </c>
      <c r="L19" s="140">
        <f>IF(SUMIF($B$4:$B$13,$B4,$H$4:$H$13)=0,NA(),MIN(H4,$J19*H4/SUMIF($B$4:$B$13,$B4,$H$4:$H$13)))</f>
        <v>16.8524719292517</v>
      </c>
      <c r="M19" s="141">
        <f>IFERROR($I19/$J19,NA())</f>
        <v>0.25</v>
      </c>
      <c r="N19" s="141">
        <f>IFERROR(K19/$J19,NA())</f>
        <v>0.867941571595842</v>
      </c>
      <c r="O19" s="142">
        <f>IFERROR(L19/$J19,NA())</f>
        <v>0.435410647957078</v>
      </c>
    </row>
    <row r="20" spans="1:15" x14ac:dyDescent="0.35">
      <c r="A20" s="137" t="str">
        <f>Empirical!A20</f>
        <v>CO2 | Lithoautotroph (aerobic)</v>
      </c>
      <c r="B20" s="138">
        <f>IFERROR(Empirical!B20,0)</f>
        <v>85.119669829999992</v>
      </c>
      <c r="C20" s="139">
        <f t="shared" ref="C20:C28" si="3">SUMIF($B$4:$B$13,$B5,$B$19:$B$28)</f>
        <v>340.47867931999997</v>
      </c>
      <c r="D20" s="140">
        <f t="shared" ref="D20:D28" si="4">IF(SUMIF($B$4:$B$13,$B5,$E$4:$E$13)=0,NA(),MIN(E5,$C20*E5/SUMIF($B$4:$B$13,$B5,$E$4:$E$13)))</f>
        <v>4.8452091827634556</v>
      </c>
      <c r="E20" s="140">
        <f t="shared" ref="E20:E28" si="5">IF(SUMIF($B$4:$B$13,$B5,$F$4:$F$13)=0,NA(),MIN(F5,$C20*F5/SUMIF($B$4:$B$13,$B5,$F$4:$F$13)))</f>
        <v>83.949999999999989</v>
      </c>
      <c r="F20" s="141">
        <f t="shared" si="0"/>
        <v>0.25</v>
      </c>
      <c r="G20" s="141">
        <f t="shared" si="1"/>
        <v>1.4230580289022063E-2</v>
      </c>
      <c r="H20" s="142">
        <f t="shared" si="2"/>
        <v>0.2465646312058774</v>
      </c>
      <c r="I20" s="138">
        <f>IFERROR(Empirical!E20,0)</f>
        <v>29.028582571974027</v>
      </c>
      <c r="J20" s="139">
        <f t="shared" ref="J20:J28" si="6">SUMIF($B$4:$B$13,$B5,$I$19:$I$28)</f>
        <v>38.704776762632036</v>
      </c>
      <c r="K20" s="140">
        <f>IF(SUMIF($B$4:$B$13,$B5,$G$4:$G$13)=0,NA(),MIN(G5,$J20*G5/SUMIF($B$4:$B$13,$B5,$G$4:$G$13)))</f>
        <v>5.11129199100694</v>
      </c>
      <c r="L20" s="140">
        <f>IF(SUMIF($B$4:$B$13,$B5,$H$4:$H$13)=0,NA(),MIN(H5,$J20*H5/SUMIF($B$4:$B$13,$B5,$H$4:$H$13)))</f>
        <v>21.8523048333804</v>
      </c>
      <c r="M20" s="141">
        <f t="shared" ref="M20:M28" si="7">IFERROR($I20/$J20,NA())</f>
        <v>0.75</v>
      </c>
      <c r="N20" s="141">
        <f t="shared" ref="N20:N28" si="8">IFERROR(K20/$J20,NA())</f>
        <v>0.132058428404158</v>
      </c>
      <c r="O20" s="142">
        <f t="shared" ref="O20:O28" si="9">IFERROR(L20/$J20,NA())</f>
        <v>0.564589352042922</v>
      </c>
    </row>
    <row r="21" spans="1:15" x14ac:dyDescent="0.35">
      <c r="A21" s="137" t="str">
        <f>Empirical!A21</f>
        <v>CO | Lithoautotroph (anaerobic)</v>
      </c>
      <c r="B21" s="138">
        <f>IFERROR(Empirical!B21,0)</f>
        <v>37.453224839999983</v>
      </c>
      <c r="C21" s="139">
        <f t="shared" si="3"/>
        <v>37.453224839999983</v>
      </c>
      <c r="D21" s="140">
        <f t="shared" si="4"/>
        <v>5.7741820949671281</v>
      </c>
      <c r="E21" s="140">
        <f t="shared" si="5"/>
        <v>37.453224839999983</v>
      </c>
      <c r="F21" s="141">
        <f t="shared" si="0"/>
        <v>1</v>
      </c>
      <c r="G21" s="141">
        <f t="shared" si="1"/>
        <v>0.15417049185041901</v>
      </c>
      <c r="H21" s="142">
        <f t="shared" si="2"/>
        <v>1</v>
      </c>
      <c r="I21" s="138">
        <f>IFERROR(Empirical!E21,0)</f>
        <v>311.86479842784001</v>
      </c>
      <c r="J21" s="139">
        <f t="shared" si="6"/>
        <v>311.86479842784001</v>
      </c>
      <c r="K21" s="140">
        <f t="shared" ref="K21:K27" si="10">IF(SUMIF($B$4:$B$13,$B6,$G$4:$G$13)=0,NA(),MIN(G6,$J21*G6/SUMIF($B$4:$B$13,$B6,$G$4:$G$13)))</f>
        <v>76.989094599561696</v>
      </c>
      <c r="L21" s="140">
        <f>IF(SUMIF($B$4:$B$13,$B6,$H$4:$H$13)=0,NA(),MIN(H6,$J21*H6/SUMIF($B$4:$B$13,$B6,$H$4:$H$13)))</f>
        <v>15.272368421052629</v>
      </c>
      <c r="M21" s="141">
        <f t="shared" si="7"/>
        <v>1</v>
      </c>
      <c r="N21" s="141">
        <f t="shared" si="8"/>
        <v>0.24686689548700574</v>
      </c>
      <c r="O21" s="142">
        <f t="shared" si="9"/>
        <v>4.897111985079132E-2</v>
      </c>
    </row>
    <row r="22" spans="1:15" x14ac:dyDescent="0.35">
      <c r="A22" s="137" t="str">
        <f>Empirical!A22</f>
        <v>CH4 | Methanotroph (aerobic)</v>
      </c>
      <c r="B22" s="138">
        <f>IFERROR(Empirical!B22,0)</f>
        <v>388.96524694800001</v>
      </c>
      <c r="C22" s="139">
        <f t="shared" si="3"/>
        <v>388.96524694800001</v>
      </c>
      <c r="D22" s="140">
        <f t="shared" si="4"/>
        <v>388.96524694800001</v>
      </c>
      <c r="E22" s="140">
        <f t="shared" si="5"/>
        <v>141.79856115107916</v>
      </c>
      <c r="F22" s="141">
        <f t="shared" si="0"/>
        <v>1</v>
      </c>
      <c r="G22" s="141">
        <f t="shared" si="1"/>
        <v>1</v>
      </c>
      <c r="H22" s="142">
        <f t="shared" si="2"/>
        <v>0.36455329174957352</v>
      </c>
      <c r="I22" s="138">
        <f>IFERROR(Empirical!E22,0)</f>
        <v>1467.5902632895279</v>
      </c>
      <c r="J22" s="139">
        <f t="shared" si="6"/>
        <v>1467.5902632895279</v>
      </c>
      <c r="K22" s="140">
        <f t="shared" si="10"/>
        <v>1467.5902632895279</v>
      </c>
      <c r="L22" s="140">
        <f t="shared" ref="L22:L28" si="11">IF(SUMIF($B$4:$B$13,$B7,$H$4:$H$13)=0,NA(),MIN(H7,$J22*H7/SUMIF($B$4:$B$13,$B7,$H$4:$H$13)))</f>
        <v>1467.5902632895279</v>
      </c>
      <c r="M22" s="141">
        <f t="shared" si="7"/>
        <v>1</v>
      </c>
      <c r="N22" s="141">
        <f t="shared" si="8"/>
        <v>1</v>
      </c>
      <c r="O22" s="142">
        <f t="shared" si="9"/>
        <v>1</v>
      </c>
    </row>
    <row r="23" spans="1:15" x14ac:dyDescent="0.35">
      <c r="A23" s="137" t="str">
        <f>Empirical!A23</f>
        <v>VFAs | Heterotroph (aerobic)</v>
      </c>
      <c r="B23" s="138">
        <f>IFERROR(Empirical!B23,0)</f>
        <v>166.596912</v>
      </c>
      <c r="C23" s="139">
        <f t="shared" si="3"/>
        <v>166.596912</v>
      </c>
      <c r="D23" s="140">
        <f t="shared" si="4"/>
        <v>166.596912</v>
      </c>
      <c r="E23" s="140">
        <f t="shared" si="5"/>
        <v>166.596912</v>
      </c>
      <c r="F23" s="141">
        <f t="shared" si="0"/>
        <v>1</v>
      </c>
      <c r="G23" s="141">
        <f t="shared" si="1"/>
        <v>1</v>
      </c>
      <c r="H23" s="142">
        <f t="shared" si="2"/>
        <v>1</v>
      </c>
      <c r="I23" s="138">
        <f>IFERROR(Empirical!E23,0)</f>
        <v>122.11964999999998</v>
      </c>
      <c r="J23" s="139">
        <f t="shared" si="6"/>
        <v>122.11964999999998</v>
      </c>
      <c r="K23" s="140">
        <f t="shared" si="10"/>
        <v>122.11964999999998</v>
      </c>
      <c r="L23" s="140">
        <f t="shared" si="11"/>
        <v>122.11964999999998</v>
      </c>
      <c r="M23" s="141">
        <f t="shared" si="7"/>
        <v>1</v>
      </c>
      <c r="N23" s="141">
        <f t="shared" si="8"/>
        <v>1</v>
      </c>
      <c r="O23" s="142">
        <f t="shared" si="9"/>
        <v>1</v>
      </c>
    </row>
    <row r="24" spans="1:15" x14ac:dyDescent="0.35">
      <c r="A24" s="137" t="str">
        <f>Empirical!A24</f>
        <v>Wet_Organics | Heterotroph (aerobic)</v>
      </c>
      <c r="B24" s="138">
        <f>IFERROR(Empirical!B24,0)</f>
        <v>25.709400000000002</v>
      </c>
      <c r="C24" s="139">
        <f t="shared" si="3"/>
        <v>25.709400000000002</v>
      </c>
      <c r="D24" s="140">
        <f t="shared" si="4"/>
        <v>25.709400000000002</v>
      </c>
      <c r="E24" s="140" t="e">
        <f t="shared" si="5"/>
        <v>#N/A</v>
      </c>
      <c r="F24" s="141">
        <f t="shared" si="0"/>
        <v>1</v>
      </c>
      <c r="G24" s="141">
        <f t="shared" si="1"/>
        <v>1</v>
      </c>
      <c r="H24" s="142" t="e">
        <f t="shared" si="2"/>
        <v>#N/A</v>
      </c>
      <c r="I24" s="138">
        <f>IFERROR(Empirical!E24,0)</f>
        <v>42.848999999999997</v>
      </c>
      <c r="J24" s="139">
        <f t="shared" si="6"/>
        <v>42.848999999999997</v>
      </c>
      <c r="K24" s="140">
        <f t="shared" si="10"/>
        <v>42.848999999999997</v>
      </c>
      <c r="L24" s="140" t="e">
        <f t="shared" si="11"/>
        <v>#N/A</v>
      </c>
      <c r="M24" s="141">
        <f t="shared" si="7"/>
        <v>1</v>
      </c>
      <c r="N24" s="141">
        <f t="shared" si="8"/>
        <v>1</v>
      </c>
      <c r="O24" s="142" t="e">
        <f t="shared" si="9"/>
        <v>#N/A</v>
      </c>
    </row>
    <row r="25" spans="1:15" x14ac:dyDescent="0.35">
      <c r="A25" s="137" t="str">
        <f>Empirical!A26</f>
        <v>Wet_Organics | Heterotroph (anaerobic)</v>
      </c>
      <c r="B25" s="138">
        <f>IFERROR(Empirical!B26,0)</f>
        <v>0</v>
      </c>
      <c r="C25" s="139">
        <f t="shared" si="3"/>
        <v>0</v>
      </c>
      <c r="D25" s="140">
        <f t="shared" si="4"/>
        <v>0</v>
      </c>
      <c r="E25" s="140">
        <f t="shared" si="5"/>
        <v>0</v>
      </c>
      <c r="F25" s="141" t="e">
        <f t="shared" si="0"/>
        <v>#N/A</v>
      </c>
      <c r="G25" s="141" t="e">
        <f t="shared" si="1"/>
        <v>#N/A</v>
      </c>
      <c r="H25" s="142" t="e">
        <f t="shared" si="2"/>
        <v>#N/A</v>
      </c>
      <c r="I25" s="138">
        <f>IFERROR(Empirical!E26,0)</f>
        <v>0</v>
      </c>
      <c r="J25" s="139">
        <f t="shared" si="6"/>
        <v>0</v>
      </c>
      <c r="K25" s="140">
        <f t="shared" si="10"/>
        <v>0</v>
      </c>
      <c r="L25" s="140">
        <f t="shared" si="11"/>
        <v>0</v>
      </c>
      <c r="M25" s="141" t="e">
        <f t="shared" si="7"/>
        <v>#N/A</v>
      </c>
      <c r="N25" s="141" t="e">
        <f t="shared" si="8"/>
        <v>#N/A</v>
      </c>
      <c r="O25" s="142" t="e">
        <f t="shared" si="9"/>
        <v>#N/A</v>
      </c>
    </row>
    <row r="26" spans="1:15" x14ac:dyDescent="0.35">
      <c r="A26" s="137" t="str">
        <f>Empirical!A27</f>
        <v>Cellulose | Enzymatic</v>
      </c>
      <c r="B26" s="138">
        <f>IFERROR(Empirical!B27,0)</f>
        <v>614.24306000000001</v>
      </c>
      <c r="C26" s="139">
        <f t="shared" si="3"/>
        <v>614.24306000000001</v>
      </c>
      <c r="D26" s="140">
        <f t="shared" si="4"/>
        <v>401.50000000000006</v>
      </c>
      <c r="E26" s="140">
        <f t="shared" si="5"/>
        <v>261.8478260869565</v>
      </c>
      <c r="F26" s="141">
        <f t="shared" si="0"/>
        <v>1</v>
      </c>
      <c r="G26" s="141">
        <f t="shared" si="1"/>
        <v>0.65365003879734518</v>
      </c>
      <c r="H26" s="142">
        <f t="shared" si="2"/>
        <v>0.42629350356348594</v>
      </c>
      <c r="I26" s="138">
        <f>IFERROR(Empirical!E27,0)</f>
        <v>614.24306000000001</v>
      </c>
      <c r="J26" s="139">
        <f t="shared" si="6"/>
        <v>614.24306000000001</v>
      </c>
      <c r="K26" s="140">
        <f t="shared" si="10"/>
        <v>614.24306000000001</v>
      </c>
      <c r="L26" s="140">
        <f t="shared" si="11"/>
        <v>614.24306000000001</v>
      </c>
      <c r="M26" s="141">
        <f t="shared" si="7"/>
        <v>1</v>
      </c>
      <c r="N26" s="141">
        <f t="shared" si="8"/>
        <v>1</v>
      </c>
      <c r="O26" s="142">
        <f t="shared" si="9"/>
        <v>1</v>
      </c>
    </row>
    <row r="27" spans="1:15" x14ac:dyDescent="0.35">
      <c r="A27" s="137" t="str">
        <f>Empirical!A28</f>
        <v>Polyesters | Biochemical</v>
      </c>
      <c r="B27" s="138">
        <f>IFERROR(Empirical!B28,0)</f>
        <v>225.59205000000003</v>
      </c>
      <c r="C27" s="139">
        <f t="shared" si="3"/>
        <v>225.59205000000003</v>
      </c>
      <c r="D27" s="140">
        <f t="shared" si="4"/>
        <v>169.72499999999999</v>
      </c>
      <c r="E27" s="140">
        <f t="shared" si="5"/>
        <v>65.078960774325026</v>
      </c>
      <c r="F27" s="141">
        <f t="shared" si="0"/>
        <v>1</v>
      </c>
      <c r="G27" s="141">
        <f t="shared" si="1"/>
        <v>0.75235364012162653</v>
      </c>
      <c r="H27" s="142">
        <f t="shared" si="2"/>
        <v>0.28848073668520241</v>
      </c>
      <c r="I27" s="138">
        <f>IFERROR(Empirical!E28,0)</f>
        <v>225.59205000000003</v>
      </c>
      <c r="J27" s="139">
        <f t="shared" si="6"/>
        <v>225.59205000000003</v>
      </c>
      <c r="K27" s="140">
        <f t="shared" si="10"/>
        <v>225.59205</v>
      </c>
      <c r="L27" s="140">
        <f t="shared" si="11"/>
        <v>59.242307692307698</v>
      </c>
      <c r="M27" s="141">
        <f t="shared" si="7"/>
        <v>1</v>
      </c>
      <c r="N27" s="141">
        <f t="shared" si="8"/>
        <v>0.99999999999999989</v>
      </c>
      <c r="O27" s="142">
        <f t="shared" si="9"/>
        <v>0.26260813575792097</v>
      </c>
    </row>
    <row r="28" spans="1:15" x14ac:dyDescent="0.35">
      <c r="A28" s="137" t="str">
        <f>Empirical!A29</f>
        <v>Polyamides | Biochemical</v>
      </c>
      <c r="B28" s="138">
        <f>IFERROR(Empirical!B29,0)</f>
        <v>80.54025</v>
      </c>
      <c r="C28" s="139">
        <f t="shared" si="3"/>
        <v>80.54025</v>
      </c>
      <c r="D28" s="140">
        <f t="shared" si="4"/>
        <v>33.945</v>
      </c>
      <c r="E28" s="140">
        <f t="shared" si="5"/>
        <v>5.615384615384615</v>
      </c>
      <c r="F28" s="141">
        <f t="shared" si="0"/>
        <v>1</v>
      </c>
      <c r="G28" s="141">
        <f t="shared" si="1"/>
        <v>0.42146628549079496</v>
      </c>
      <c r="H28" s="142">
        <f t="shared" si="2"/>
        <v>6.9721469890950363E-2</v>
      </c>
      <c r="I28" s="138">
        <f>IFERROR(Empirical!E29,0)</f>
        <v>80.54025</v>
      </c>
      <c r="J28" s="139">
        <f t="shared" si="6"/>
        <v>80.54025</v>
      </c>
      <c r="K28" s="140">
        <f>IF(SUMIF($B$4:$B$13,$B13,$G$4:$G$13)=0,NA(),MIN(G13,$J28*G13/SUMIF($B$4:$B$13,$B13,$G$4:$G$13)))</f>
        <v>80.54025</v>
      </c>
      <c r="L28" s="140">
        <f t="shared" si="11"/>
        <v>80.54025</v>
      </c>
      <c r="M28" s="141">
        <f t="shared" si="7"/>
        <v>1</v>
      </c>
      <c r="N28" s="141">
        <f t="shared" si="8"/>
        <v>1</v>
      </c>
      <c r="O28" s="142">
        <f t="shared" si="9"/>
        <v>1</v>
      </c>
    </row>
    <row r="29" spans="1:15" x14ac:dyDescent="0.35">
      <c r="A29" s="143" t="s">
        <v>340</v>
      </c>
      <c r="B29" s="144">
        <f>SUMIF(B19:B28,"&lt;1E307")</f>
        <v>1879.578823108</v>
      </c>
      <c r="C29" s="145"/>
      <c r="D29" s="146">
        <f>SUMIF(D19:D28,"&lt;1E307")</f>
        <v>1251.81095022573</v>
      </c>
      <c r="E29" s="146">
        <f>SUMIF(E19:E28,"&lt;1E307")</f>
        <v>897.390869467745</v>
      </c>
      <c r="F29" s="145"/>
      <c r="G29" s="147">
        <f>IFERROR(D29/B29,NA())</f>
        <v>0.666006093937462</v>
      </c>
      <c r="H29" s="148">
        <f>IFERROR(E29/B29,NA())</f>
        <v>0.477442530440864</v>
      </c>
      <c r="I29" s="144">
        <f>SUMIF(I19:I28,"&lt;1E307")</f>
        <v>2903.50384848</v>
      </c>
      <c r="J29" s="145"/>
      <c r="K29" s="146">
        <f>SUMIF(K19:K28,"&lt;1E307")</f>
        <v>2668.62814465172</v>
      </c>
      <c r="L29" s="146">
        <f>SUMIF(L19:L28,"&lt;1E307")</f>
        <v>2397.71267616552</v>
      </c>
      <c r="M29" s="145"/>
      <c r="N29" s="147">
        <f>IFERROR(K29/I29,NA())</f>
        <v>0.919106115891241</v>
      </c>
      <c r="O29" s="148">
        <f>IFERROR(L29/I29,NA())</f>
        <v>0.82579972381326</v>
      </c>
    </row>
  </sheetData>
  <mergeCells count="6">
    <mergeCell ref="G2:H2"/>
    <mergeCell ref="E2:F2"/>
    <mergeCell ref="B17:H17"/>
    <mergeCell ref="I17:O17"/>
    <mergeCell ref="A1:I1"/>
    <mergeCell ref="A16:O1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Description</vt:lpstr>
      <vt:lpstr>Constants</vt:lpstr>
      <vt:lpstr>Inputs</vt:lpstr>
      <vt:lpstr>Parameters</vt:lpstr>
      <vt:lpstr>Routing</vt:lpstr>
      <vt:lpstr>Theoretical</vt:lpstr>
      <vt:lpstr>Empirical</vt:lpstr>
      <vt:lpstr>Scenarios</vt:lpstr>
      <vt:lpstr>Volume-Limited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Nils Averesch</cp:lastModifiedBy>
  <cp:revision>27</cp:revision>
  <dcterms:created xsi:type="dcterms:W3CDTF">2026-02-05T21:03:25Z</dcterms:created>
  <dcterms:modified xsi:type="dcterms:W3CDTF">2026-09-22T21:17:40Z</dcterms:modified>
  <dc:language>en-US</dc:language>
</cp:coreProperties>
</file>